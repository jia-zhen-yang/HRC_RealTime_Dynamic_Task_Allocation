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2466\Desktop\task_monitor\Standard Time Calculation\"/>
    </mc:Choice>
  </mc:AlternateContent>
  <xr:revisionPtr revIDLastSave="0" documentId="13_ncr:1_{337E9070-3144-443B-830A-C4E82AE015B4}" xr6:coauthVersionLast="47" xr6:coauthVersionMax="47" xr10:uidLastSave="{00000000-0000-0000-0000-000000000000}"/>
  <bookViews>
    <workbookView xWindow="3240" yWindow="1545" windowWidth="21600" windowHeight="13575" activeTab="2" xr2:uid="{00000000-000D-0000-FFFF-FFFF00000000}"/>
  </bookViews>
  <sheets>
    <sheet name="動素拆解" sheetId="1" r:id="rId1"/>
    <sheet name="位置點座標(human)" sheetId="2" r:id="rId2"/>
    <sheet name="位置點座標(robot)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D7" i="5" s="1"/>
  <c r="D9" i="5" s="1"/>
  <c r="D14" i="5"/>
  <c r="D16" i="5" s="1"/>
  <c r="D18" i="5" s="1"/>
  <c r="D20" i="5" s="1"/>
  <c r="D22" i="5" s="1"/>
  <c r="D24" i="5" s="1"/>
  <c r="D26" i="5" s="1"/>
  <c r="D28" i="5" s="1"/>
  <c r="D30" i="5" s="1"/>
  <c r="B24" i="5"/>
  <c r="B30" i="5" s="1"/>
  <c r="B23" i="5"/>
  <c r="B29" i="5" s="1"/>
  <c r="B22" i="5"/>
  <c r="B28" i="5" s="1"/>
  <c r="B21" i="5"/>
  <c r="B27" i="5" s="1"/>
  <c r="B20" i="5"/>
  <c r="B26" i="5" s="1"/>
  <c r="C16" i="5"/>
  <c r="C22" i="5" s="1"/>
  <c r="C28" i="5" s="1"/>
  <c r="B16" i="5"/>
  <c r="B18" i="5" s="1"/>
  <c r="D15" i="5"/>
  <c r="D17" i="5" s="1"/>
  <c r="D19" i="5" s="1"/>
  <c r="D21" i="5" s="1"/>
  <c r="D23" i="5" s="1"/>
  <c r="D25" i="5" s="1"/>
  <c r="D27" i="5" s="1"/>
  <c r="D29" i="5" s="1"/>
  <c r="C15" i="5"/>
  <c r="C21" i="5" s="1"/>
  <c r="C27" i="5" s="1"/>
  <c r="B15" i="5"/>
  <c r="B17" i="5" s="1"/>
  <c r="C14" i="5"/>
  <c r="C20" i="5" s="1"/>
  <c r="C26" i="5" s="1"/>
  <c r="B14" i="5"/>
  <c r="C13" i="5"/>
  <c r="C19" i="5" s="1"/>
  <c r="C25" i="5" s="1"/>
  <c r="B13" i="5"/>
  <c r="B19" i="5" s="1"/>
  <c r="B25" i="5" s="1"/>
  <c r="D6" i="5"/>
  <c r="D10" i="5" s="1"/>
  <c r="D35" i="2"/>
  <c r="D33" i="2"/>
  <c r="D16" i="2"/>
  <c r="D15" i="2"/>
  <c r="D17" i="2" s="1"/>
  <c r="D13" i="2"/>
  <c r="D5" i="2"/>
  <c r="D7" i="2" s="1"/>
  <c r="D9" i="2" s="1"/>
  <c r="D4" i="2"/>
  <c r="D6" i="2"/>
  <c r="D8" i="2" s="1"/>
  <c r="D10" i="2" s="1"/>
  <c r="B29" i="2"/>
  <c r="B31" i="2"/>
  <c r="B25" i="2"/>
  <c r="B24" i="2"/>
  <c r="B30" i="2" s="1"/>
  <c r="B23" i="2"/>
  <c r="B39" i="2" s="1"/>
  <c r="B22" i="2"/>
  <c r="B28" i="2" s="1"/>
  <c r="C17" i="2"/>
  <c r="C19" i="2" s="1"/>
  <c r="C16" i="2"/>
  <c r="C18" i="2" s="1"/>
  <c r="C15" i="2"/>
  <c r="C21" i="2" s="1"/>
  <c r="C27" i="2" s="1"/>
  <c r="C37" i="2" s="1"/>
  <c r="C14" i="2"/>
  <c r="C20" i="2" s="1"/>
  <c r="C26" i="2" s="1"/>
  <c r="B17" i="2"/>
  <c r="B19" i="2" s="1"/>
  <c r="B41" i="2" s="1"/>
  <c r="B16" i="2"/>
  <c r="B18" i="2" s="1"/>
  <c r="B15" i="2"/>
  <c r="B21" i="2" s="1"/>
  <c r="B14" i="2"/>
  <c r="B20" i="2" s="1"/>
  <c r="C17" i="5" l="1"/>
  <c r="C23" i="5" s="1"/>
  <c r="C29" i="5" s="1"/>
  <c r="C18" i="5"/>
  <c r="C24" i="5" s="1"/>
  <c r="C30" i="5" s="1"/>
  <c r="D8" i="5"/>
  <c r="B26" i="2"/>
  <c r="B36" i="2" s="1"/>
  <c r="B40" i="2"/>
  <c r="D19" i="2"/>
  <c r="B27" i="2"/>
  <c r="B37" i="2"/>
  <c r="D18" i="2"/>
  <c r="B38" i="2"/>
  <c r="C24" i="2"/>
  <c r="C30" i="2" s="1"/>
  <c r="C36" i="2"/>
  <c r="C22" i="2"/>
  <c r="C25" i="2"/>
  <c r="C31" i="2" s="1"/>
  <c r="C23" i="2"/>
  <c r="D11" i="2"/>
  <c r="D20" i="2" l="1"/>
  <c r="D21" i="2"/>
  <c r="C29" i="2"/>
  <c r="C39" i="2"/>
  <c r="C28" i="2"/>
  <c r="C38" i="2" s="1"/>
  <c r="C40" i="2"/>
  <c r="C41" i="2"/>
  <c r="D22" i="2" l="1"/>
  <c r="D23" i="2"/>
  <c r="D24" i="2" l="1"/>
  <c r="D25" i="2"/>
  <c r="D27" i="2" l="1"/>
  <c r="D26" i="2"/>
  <c r="D28" i="2" l="1"/>
  <c r="D36" i="2"/>
  <c r="D29" i="2"/>
  <c r="D37" i="2"/>
  <c r="D31" i="2" l="1"/>
  <c r="D41" i="2" s="1"/>
  <c r="D39" i="2"/>
  <c r="D30" i="2"/>
  <c r="D40" i="2" s="1"/>
  <c r="D38" i="2"/>
</calcChain>
</file>

<file path=xl/sharedStrings.xml><?xml version="1.0" encoding="utf-8"?>
<sst xmlns="http://schemas.openxmlformats.org/spreadsheetml/2006/main" count="430" uniqueCount="97">
  <si>
    <t>replace</t>
    <phoneticPr fontId="2" type="noConversion"/>
  </si>
  <si>
    <t>Task</t>
    <phoneticPr fontId="2" type="noConversion"/>
  </si>
  <si>
    <t>Name</t>
    <phoneticPr fontId="2" type="noConversion"/>
  </si>
  <si>
    <t>From</t>
    <phoneticPr fontId="2" type="noConversion"/>
  </si>
  <si>
    <t>To</t>
    <phoneticPr fontId="2" type="noConversion"/>
  </si>
  <si>
    <t>Type</t>
    <phoneticPr fontId="2" type="noConversion"/>
  </si>
  <si>
    <t>R</t>
    <phoneticPr fontId="2" type="noConversion"/>
  </si>
  <si>
    <t>Reach</t>
    <phoneticPr fontId="2" type="noConversion"/>
  </si>
  <si>
    <t>M</t>
    <phoneticPr fontId="2" type="noConversion"/>
  </si>
  <si>
    <t>Move</t>
    <phoneticPr fontId="2" type="noConversion"/>
  </si>
  <si>
    <t>RL</t>
    <phoneticPr fontId="2" type="noConversion"/>
  </si>
  <si>
    <t>Release</t>
    <phoneticPr fontId="2" type="noConversion"/>
  </si>
  <si>
    <t>G</t>
    <phoneticPr fontId="2" type="noConversion"/>
  </si>
  <si>
    <t>Grab</t>
    <phoneticPr fontId="2" type="noConversion"/>
  </si>
  <si>
    <t>END</t>
    <phoneticPr fontId="2" type="noConversion"/>
  </si>
  <si>
    <t>AGENT</t>
    <phoneticPr fontId="2" type="noConversion"/>
  </si>
  <si>
    <t>pick and place A</t>
    <phoneticPr fontId="2" type="noConversion"/>
  </si>
  <si>
    <t>pick and place B</t>
    <phoneticPr fontId="2" type="noConversion"/>
  </si>
  <si>
    <t>pick and place C</t>
    <phoneticPr fontId="2" type="noConversion"/>
  </si>
  <si>
    <t>pick and place D</t>
    <phoneticPr fontId="2" type="noConversion"/>
  </si>
  <si>
    <t>#拿東西移動</t>
    <phoneticPr fontId="2" type="noConversion"/>
  </si>
  <si>
    <t>B</t>
    <phoneticPr fontId="2" type="noConversion"/>
  </si>
  <si>
    <t>1A</t>
    <phoneticPr fontId="2" type="noConversion"/>
  </si>
  <si>
    <t>1B</t>
    <phoneticPr fontId="2" type="noConversion"/>
  </si>
  <si>
    <t>G1A:直接抓小、中或大的目的物，容易抓時</t>
    <phoneticPr fontId="2" type="noConversion"/>
  </si>
  <si>
    <t>G1B:抓極小的目的物或緊緊貼在平面上放置的物體時</t>
    <phoneticPr fontId="2" type="noConversion"/>
  </si>
  <si>
    <t>Name</t>
  </si>
  <si>
    <t>x_coord</t>
  </si>
  <si>
    <t>y_coord</t>
  </si>
  <si>
    <t>z_coord</t>
  </si>
  <si>
    <t>LH</t>
  </si>
  <si>
    <t>RH</t>
  </si>
  <si>
    <t>BOT</t>
  </si>
  <si>
    <t>OBJA</t>
    <phoneticPr fontId="2" type="noConversion"/>
  </si>
  <si>
    <t>OBJA_TOP</t>
    <phoneticPr fontId="2" type="noConversion"/>
  </si>
  <si>
    <t>OBJB</t>
    <phoneticPr fontId="2" type="noConversion"/>
  </si>
  <si>
    <t>OBJB_TOP</t>
    <phoneticPr fontId="2" type="noConversion"/>
  </si>
  <si>
    <t>OBJC</t>
  </si>
  <si>
    <t>OBJC</t>
    <phoneticPr fontId="2" type="noConversion"/>
  </si>
  <si>
    <t>OBJC_TOP</t>
    <phoneticPr fontId="2" type="noConversion"/>
  </si>
  <si>
    <t>OBJD</t>
    <phoneticPr fontId="2" type="noConversion"/>
  </si>
  <si>
    <t>OBJD_TOP</t>
    <phoneticPr fontId="2" type="noConversion"/>
  </si>
  <si>
    <t>KITBOX_ZONE</t>
    <phoneticPr fontId="2" type="noConversion"/>
  </si>
  <si>
    <t>LayoutA_BottomLeft</t>
    <phoneticPr fontId="2" type="noConversion"/>
  </si>
  <si>
    <t>LayoutA_Top</t>
    <phoneticPr fontId="2" type="noConversion"/>
  </si>
  <si>
    <t>LayoutA_BottomRight</t>
    <phoneticPr fontId="2" type="noConversion"/>
  </si>
  <si>
    <t>LayoutB_Top</t>
    <phoneticPr fontId="2" type="noConversion"/>
  </si>
  <si>
    <t>LayoutB_BottomLeft</t>
    <phoneticPr fontId="2" type="noConversion"/>
  </si>
  <si>
    <t>LayoutB_BottomRight</t>
    <phoneticPr fontId="2" type="noConversion"/>
  </si>
  <si>
    <t>LayoutC_Top</t>
    <phoneticPr fontId="2" type="noConversion"/>
  </si>
  <si>
    <t>LayoutC_BottomLeft</t>
    <phoneticPr fontId="2" type="noConversion"/>
  </si>
  <si>
    <t>LayoutC_BottomRight</t>
    <phoneticPr fontId="2" type="noConversion"/>
  </si>
  <si>
    <t>STORAGE_ZONE</t>
    <phoneticPr fontId="2" type="noConversion"/>
  </si>
  <si>
    <t>KITBOX_ZONE_TOP</t>
    <phoneticPr fontId="2" type="noConversion"/>
  </si>
  <si>
    <t>LayoutA_Top_TOP</t>
    <phoneticPr fontId="2" type="noConversion"/>
  </si>
  <si>
    <t>LayoutA_BottomLeft_TOP</t>
    <phoneticPr fontId="2" type="noConversion"/>
  </si>
  <si>
    <t>LayoutA_BottomRight_TOP</t>
    <phoneticPr fontId="2" type="noConversion"/>
  </si>
  <si>
    <t>LayoutB_Top_TOP</t>
    <phoneticPr fontId="2" type="noConversion"/>
  </si>
  <si>
    <t>LayoutB_BottomLeft_TOP</t>
    <phoneticPr fontId="2" type="noConversion"/>
  </si>
  <si>
    <t>LayoutB_BottomRight_TOP</t>
    <phoneticPr fontId="2" type="noConversion"/>
  </si>
  <si>
    <t>LayoutC_Top_TOP</t>
    <phoneticPr fontId="2" type="noConversion"/>
  </si>
  <si>
    <t>LayoutC_BottomLeft_TOP</t>
    <phoneticPr fontId="2" type="noConversion"/>
  </si>
  <si>
    <t>LayoutC_BottomRight_TOP</t>
    <phoneticPr fontId="2" type="noConversion"/>
  </si>
  <si>
    <t>STORAGE_ZONE_TOP</t>
    <phoneticPr fontId="2" type="noConversion"/>
  </si>
  <si>
    <t>LA_T</t>
    <phoneticPr fontId="2" type="noConversion"/>
  </si>
  <si>
    <t>LA_T_TOP</t>
    <phoneticPr fontId="2" type="noConversion"/>
  </si>
  <si>
    <t>LA_BL</t>
    <phoneticPr fontId="2" type="noConversion"/>
  </si>
  <si>
    <t>LA_BL_TOP</t>
    <phoneticPr fontId="2" type="noConversion"/>
  </si>
  <si>
    <t>LA_BR</t>
    <phoneticPr fontId="2" type="noConversion"/>
  </si>
  <si>
    <t>LA_BR_TOP</t>
    <phoneticPr fontId="2" type="noConversion"/>
  </si>
  <si>
    <t>LB_T</t>
    <phoneticPr fontId="2" type="noConversion"/>
  </si>
  <si>
    <t>LB_T_TOP</t>
    <phoneticPr fontId="2" type="noConversion"/>
  </si>
  <si>
    <t>LB_BL</t>
    <phoneticPr fontId="2" type="noConversion"/>
  </si>
  <si>
    <t>LB_BL_TOP</t>
    <phoneticPr fontId="2" type="noConversion"/>
  </si>
  <si>
    <t>LC_BR_TOP</t>
    <phoneticPr fontId="2" type="noConversion"/>
  </si>
  <si>
    <t>LC_BR</t>
    <phoneticPr fontId="2" type="noConversion"/>
  </si>
  <si>
    <t>LC_BL_TOP</t>
    <phoneticPr fontId="2" type="noConversion"/>
  </si>
  <si>
    <t>LC_BL</t>
    <phoneticPr fontId="2" type="noConversion"/>
  </si>
  <si>
    <t>LC_T_TOP</t>
    <phoneticPr fontId="2" type="noConversion"/>
  </si>
  <si>
    <t>LC_T</t>
    <phoneticPr fontId="2" type="noConversion"/>
  </si>
  <si>
    <t>LB_BR_TOP</t>
    <phoneticPr fontId="2" type="noConversion"/>
  </si>
  <si>
    <t>LB_BR</t>
    <phoneticPr fontId="2" type="noConversion"/>
  </si>
  <si>
    <t>簡化計算(平均)</t>
    <phoneticPr fontId="2" type="noConversion"/>
  </si>
  <si>
    <t>T</t>
    <phoneticPr fontId="2" type="noConversion"/>
  </si>
  <si>
    <t>T_TOP</t>
    <phoneticPr fontId="2" type="noConversion"/>
  </si>
  <si>
    <t>BL</t>
    <phoneticPr fontId="2" type="noConversion"/>
  </si>
  <si>
    <t>BL_TOP</t>
    <phoneticPr fontId="2" type="noConversion"/>
  </si>
  <si>
    <t>BR</t>
    <phoneticPr fontId="2" type="noConversion"/>
  </si>
  <si>
    <t>BR_TOP</t>
    <phoneticPr fontId="2" type="noConversion"/>
  </si>
  <si>
    <t>NEW_KITBOX_TOP</t>
    <phoneticPr fontId="2" type="noConversion"/>
  </si>
  <si>
    <t>NEW_KITBOX</t>
    <phoneticPr fontId="2" type="noConversion"/>
  </si>
  <si>
    <t>Layout A</t>
    <phoneticPr fontId="2" type="noConversion"/>
  </si>
  <si>
    <t>Layout B/C</t>
    <phoneticPr fontId="2" type="noConversion"/>
  </si>
  <si>
    <t>Layout C</t>
    <phoneticPr fontId="2" type="noConversion"/>
  </si>
  <si>
    <t>不會用到(計算其他定位點)</t>
    <phoneticPr fontId="2" type="noConversion"/>
  </si>
  <si>
    <t>手抬高6cm</t>
    <phoneticPr fontId="2" type="noConversion"/>
  </si>
  <si>
    <t>手臂抬至15cm高度平面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</si>
</sst>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13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1" xfId="3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7" fillId="3" borderId="0" xfId="2" applyAlignment="1">
      <alignment horizontal="center"/>
    </xf>
    <xf numFmtId="0" fontId="6" fillId="2" borderId="0" xfId="1" applyAlignment="1">
      <alignment horizontal="center"/>
    </xf>
    <xf numFmtId="0" fontId="1" fillId="5" borderId="0" xfId="4" applyAlignment="1"/>
    <xf numFmtId="0" fontId="1" fillId="5" borderId="0" xfId="4" applyAlignment="1">
      <alignment horizontal="center"/>
    </xf>
  </cellXfs>
  <cellStyles count="5">
    <cellStyle name="20% - 輔色1" xfId="4" builtinId="30"/>
    <cellStyle name="一般" xfId="0" builtinId="0"/>
    <cellStyle name="好" xfId="1" builtinId="26"/>
    <cellStyle name="備註" xfId="3" builtinId="10"/>
    <cellStyle name="壞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zoomScaleNormal="100" workbookViewId="0">
      <selection activeCell="K24" sqref="K24"/>
    </sheetView>
  </sheetViews>
  <sheetFormatPr defaultRowHeight="15.75" x14ac:dyDescent="0.25"/>
  <cols>
    <col min="1" max="1" width="18" customWidth="1"/>
    <col min="2" max="2" width="13.7109375" customWidth="1"/>
    <col min="3" max="3" width="23.42578125" customWidth="1"/>
    <col min="4" max="4" width="25.7109375" customWidth="1"/>
    <col min="5" max="5" width="11.85546875" customWidth="1"/>
    <col min="16" max="16" width="16.28515625" customWidth="1"/>
  </cols>
  <sheetData>
    <row r="1" spans="1:20" ht="16.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/>
      <c r="G1" s="2"/>
      <c r="H1" s="2"/>
      <c r="I1" s="2"/>
      <c r="J1" s="3"/>
      <c r="K1" s="3"/>
      <c r="L1" s="3"/>
      <c r="M1" s="4"/>
    </row>
    <row r="2" spans="1:20" ht="16.5" x14ac:dyDescent="0.25">
      <c r="A2" s="3" t="s">
        <v>16</v>
      </c>
      <c r="B2" s="3" t="s">
        <v>6</v>
      </c>
      <c r="C2" s="3" t="s">
        <v>15</v>
      </c>
      <c r="D2" s="6" t="s">
        <v>34</v>
      </c>
      <c r="E2" s="3" t="s">
        <v>21</v>
      </c>
      <c r="F2" s="3"/>
      <c r="G2" s="3"/>
      <c r="H2" s="3"/>
      <c r="I2" s="3"/>
      <c r="J2" s="3"/>
      <c r="K2" s="3"/>
      <c r="L2" s="3"/>
      <c r="M2" s="4"/>
    </row>
    <row r="3" spans="1:20" ht="16.5" x14ac:dyDescent="0.25">
      <c r="A3" s="3"/>
      <c r="B3" s="3" t="s">
        <v>6</v>
      </c>
      <c r="C3" s="6" t="s">
        <v>34</v>
      </c>
      <c r="D3" s="6" t="s">
        <v>33</v>
      </c>
      <c r="E3" s="3" t="s">
        <v>21</v>
      </c>
      <c r="F3" s="3"/>
      <c r="G3" s="3"/>
      <c r="H3" s="3"/>
      <c r="I3" s="3"/>
      <c r="J3" s="3"/>
      <c r="K3" s="3"/>
      <c r="L3" s="3"/>
      <c r="M3" s="4"/>
    </row>
    <row r="4" spans="1:20" ht="16.5" x14ac:dyDescent="0.25">
      <c r="A4" s="3"/>
      <c r="B4" s="3" t="s">
        <v>12</v>
      </c>
      <c r="C4" s="6" t="s">
        <v>33</v>
      </c>
      <c r="D4" s="6" t="s">
        <v>33</v>
      </c>
      <c r="E4" s="3" t="s">
        <v>22</v>
      </c>
      <c r="F4" s="3"/>
      <c r="G4" s="3"/>
      <c r="H4" s="6"/>
      <c r="I4" s="3"/>
      <c r="J4" s="3"/>
      <c r="K4" s="3"/>
      <c r="L4" s="3"/>
      <c r="M4" s="4"/>
    </row>
    <row r="5" spans="1:20" ht="16.5" x14ac:dyDescent="0.25">
      <c r="A5" s="3"/>
      <c r="B5" s="3" t="s">
        <v>8</v>
      </c>
      <c r="C5" s="6" t="s">
        <v>33</v>
      </c>
      <c r="D5" s="6" t="s">
        <v>34</v>
      </c>
      <c r="E5" s="3" t="s">
        <v>21</v>
      </c>
      <c r="F5" s="3"/>
      <c r="G5" s="3"/>
      <c r="I5" s="3"/>
      <c r="J5" s="3"/>
      <c r="K5" s="3"/>
      <c r="L5" s="3"/>
      <c r="M5" s="4"/>
    </row>
    <row r="6" spans="1:20" ht="16.5" x14ac:dyDescent="0.25">
      <c r="A6" s="3"/>
      <c r="B6" s="3" t="s">
        <v>8</v>
      </c>
      <c r="C6" s="6" t="s">
        <v>34</v>
      </c>
      <c r="D6" s="4" t="s">
        <v>84</v>
      </c>
      <c r="E6" s="3" t="s">
        <v>21</v>
      </c>
      <c r="F6" s="3"/>
      <c r="G6" s="3"/>
      <c r="H6" s="3"/>
      <c r="I6" s="3"/>
      <c r="J6" s="3"/>
      <c r="K6" s="3"/>
      <c r="L6" s="3"/>
      <c r="M6" s="4"/>
    </row>
    <row r="7" spans="1:20" ht="16.5" x14ac:dyDescent="0.25">
      <c r="A7" s="3"/>
      <c r="B7" s="3" t="s">
        <v>8</v>
      </c>
      <c r="C7" s="4" t="s">
        <v>84</v>
      </c>
      <c r="D7" s="4" t="s">
        <v>83</v>
      </c>
      <c r="E7" s="3" t="s">
        <v>21</v>
      </c>
      <c r="F7" s="3"/>
      <c r="G7" s="3"/>
      <c r="H7" s="3"/>
      <c r="J7" s="3"/>
      <c r="K7" s="3"/>
      <c r="L7" s="3"/>
      <c r="M7" s="4"/>
    </row>
    <row r="8" spans="1:20" ht="16.5" x14ac:dyDescent="0.25">
      <c r="B8" s="3" t="s">
        <v>10</v>
      </c>
      <c r="C8" s="4" t="s">
        <v>83</v>
      </c>
      <c r="D8" s="4" t="s">
        <v>83</v>
      </c>
      <c r="E8" s="6">
        <v>1</v>
      </c>
      <c r="F8" s="3"/>
      <c r="G8" s="3"/>
      <c r="H8" s="3"/>
      <c r="J8" s="3"/>
      <c r="K8" s="3"/>
      <c r="L8" s="3"/>
      <c r="M8" s="4"/>
    </row>
    <row r="9" spans="1:20" ht="16.5" x14ac:dyDescent="0.25">
      <c r="B9" s="3" t="s">
        <v>6</v>
      </c>
      <c r="C9" s="4" t="s">
        <v>83</v>
      </c>
      <c r="D9" s="4" t="s">
        <v>84</v>
      </c>
      <c r="E9" s="3" t="s">
        <v>21</v>
      </c>
      <c r="F9" s="3"/>
      <c r="G9" s="3"/>
      <c r="H9" s="3"/>
      <c r="J9" s="3"/>
      <c r="K9" s="3"/>
      <c r="L9" s="3"/>
      <c r="M9" s="4"/>
    </row>
    <row r="10" spans="1:20" ht="16.5" x14ac:dyDescent="0.25">
      <c r="A10" s="3"/>
      <c r="B10" s="3" t="s">
        <v>6</v>
      </c>
      <c r="C10" s="4" t="s">
        <v>84</v>
      </c>
      <c r="D10" s="3" t="s">
        <v>15</v>
      </c>
      <c r="E10" s="3" t="s">
        <v>21</v>
      </c>
      <c r="F10" s="3"/>
      <c r="G10" s="3"/>
      <c r="H10" s="3"/>
      <c r="I10" s="3"/>
      <c r="J10" s="3"/>
      <c r="K10" s="3"/>
      <c r="L10" s="3"/>
      <c r="M10" s="4"/>
    </row>
    <row r="11" spans="1:20" ht="16.5" x14ac:dyDescent="0.25">
      <c r="A11" s="3"/>
      <c r="B11" s="3" t="s">
        <v>14</v>
      </c>
      <c r="C11" s="3"/>
      <c r="E11" s="3"/>
      <c r="F11" s="3"/>
      <c r="G11" s="3"/>
      <c r="H11" s="3"/>
      <c r="I11" s="3"/>
      <c r="J11" s="3"/>
      <c r="K11" s="3"/>
      <c r="L11" s="3"/>
      <c r="M11" s="4"/>
      <c r="N11" s="11" t="s">
        <v>6</v>
      </c>
      <c r="O11" s="11" t="s">
        <v>7</v>
      </c>
      <c r="P11" s="11"/>
      <c r="Q11" s="11"/>
      <c r="R11" s="11"/>
      <c r="S11" s="11"/>
      <c r="T11" s="11"/>
    </row>
    <row r="12" spans="1:20" ht="16.5" x14ac:dyDescent="0.25">
      <c r="A12" s="3" t="s">
        <v>17</v>
      </c>
      <c r="B12" s="3" t="s">
        <v>6</v>
      </c>
      <c r="C12" s="3" t="s">
        <v>15</v>
      </c>
      <c r="D12" s="6" t="s">
        <v>36</v>
      </c>
      <c r="E12" s="3" t="s">
        <v>21</v>
      </c>
      <c r="F12" s="3"/>
      <c r="G12" s="3"/>
      <c r="H12" s="3"/>
      <c r="I12" s="3"/>
      <c r="J12" s="3"/>
      <c r="K12" s="3"/>
      <c r="L12" s="3"/>
      <c r="M12" s="4"/>
      <c r="N12" s="11" t="s">
        <v>8</v>
      </c>
      <c r="O12" s="11" t="s">
        <v>9</v>
      </c>
      <c r="P12" s="11" t="s">
        <v>20</v>
      </c>
      <c r="Q12" s="11"/>
      <c r="R12" s="11"/>
      <c r="S12" s="11"/>
      <c r="T12" s="11"/>
    </row>
    <row r="13" spans="1:20" ht="16.5" x14ac:dyDescent="0.25">
      <c r="A13" s="3" t="s">
        <v>91</v>
      </c>
      <c r="B13" s="3" t="s">
        <v>6</v>
      </c>
      <c r="C13" s="6" t="s">
        <v>36</v>
      </c>
      <c r="D13" s="6" t="s">
        <v>35</v>
      </c>
      <c r="E13" s="3" t="s">
        <v>21</v>
      </c>
      <c r="F13" s="3"/>
      <c r="G13" s="3"/>
      <c r="H13" s="3"/>
      <c r="I13" s="3"/>
      <c r="J13" s="3"/>
      <c r="K13" s="3"/>
      <c r="L13" s="3"/>
      <c r="M13" s="4"/>
      <c r="N13" s="11"/>
      <c r="O13" s="11"/>
      <c r="P13" s="11"/>
      <c r="Q13" s="11"/>
      <c r="R13" s="11"/>
      <c r="S13" s="11"/>
      <c r="T13" s="11"/>
    </row>
    <row r="14" spans="1:20" ht="16.5" x14ac:dyDescent="0.25">
      <c r="A14" s="3"/>
      <c r="B14" s="3" t="s">
        <v>12</v>
      </c>
      <c r="C14" s="6" t="s">
        <v>35</v>
      </c>
      <c r="D14" s="6" t="s">
        <v>35</v>
      </c>
      <c r="E14" s="3" t="s">
        <v>22</v>
      </c>
      <c r="F14" s="3"/>
      <c r="G14" s="3"/>
      <c r="H14" s="3"/>
      <c r="I14" s="3"/>
      <c r="J14" s="3"/>
      <c r="K14" s="3"/>
      <c r="L14" s="3"/>
      <c r="M14" s="4"/>
      <c r="N14" s="11" t="s">
        <v>10</v>
      </c>
      <c r="O14" s="11" t="s">
        <v>11</v>
      </c>
      <c r="P14" s="11"/>
      <c r="Q14" s="11"/>
      <c r="R14" s="11"/>
      <c r="S14" s="11"/>
      <c r="T14" s="11"/>
    </row>
    <row r="15" spans="1:20" ht="16.5" x14ac:dyDescent="0.25">
      <c r="A15" s="3"/>
      <c r="B15" s="3" t="s">
        <v>8</v>
      </c>
      <c r="C15" s="6" t="s">
        <v>35</v>
      </c>
      <c r="D15" s="6" t="s">
        <v>36</v>
      </c>
      <c r="E15" s="3" t="s">
        <v>21</v>
      </c>
      <c r="F15" s="3"/>
      <c r="G15" s="3"/>
      <c r="H15" s="3"/>
      <c r="I15" s="3"/>
      <c r="J15" s="3"/>
      <c r="K15" s="3"/>
      <c r="L15" s="3"/>
      <c r="M15" s="4"/>
      <c r="N15" s="11"/>
      <c r="O15" s="11"/>
      <c r="P15" s="11"/>
      <c r="Q15" s="11"/>
      <c r="R15" s="11"/>
      <c r="S15" s="11"/>
      <c r="T15" s="11"/>
    </row>
    <row r="16" spans="1:20" ht="16.5" x14ac:dyDescent="0.25">
      <c r="A16" s="3"/>
      <c r="B16" s="3" t="s">
        <v>8</v>
      </c>
      <c r="C16" s="6" t="s">
        <v>36</v>
      </c>
      <c r="D16" s="4" t="s">
        <v>86</v>
      </c>
      <c r="E16" s="3" t="s">
        <v>21</v>
      </c>
      <c r="F16" s="3"/>
      <c r="G16" s="3"/>
      <c r="H16" s="3"/>
      <c r="I16" s="3"/>
      <c r="J16" s="3"/>
      <c r="K16" s="3"/>
      <c r="L16" s="3"/>
      <c r="M16" s="4"/>
      <c r="N16" s="11"/>
      <c r="O16" s="11"/>
      <c r="P16" s="11"/>
      <c r="Q16" s="11"/>
      <c r="R16" s="11"/>
      <c r="S16" s="11"/>
      <c r="T16" s="11"/>
    </row>
    <row r="17" spans="1:20" ht="16.5" x14ac:dyDescent="0.25">
      <c r="A17" s="3"/>
      <c r="B17" s="3" t="s">
        <v>8</v>
      </c>
      <c r="C17" s="4" t="s">
        <v>86</v>
      </c>
      <c r="D17" s="4" t="s">
        <v>85</v>
      </c>
      <c r="E17" s="3" t="s">
        <v>21</v>
      </c>
      <c r="F17" s="3"/>
      <c r="G17" s="3"/>
      <c r="H17" s="3"/>
      <c r="I17" s="3"/>
      <c r="J17" s="3"/>
      <c r="K17" s="3"/>
      <c r="L17" s="3"/>
      <c r="M17" s="4"/>
      <c r="N17" s="11" t="s">
        <v>12</v>
      </c>
      <c r="O17" s="11" t="s">
        <v>13</v>
      </c>
      <c r="P17" s="11" t="s">
        <v>24</v>
      </c>
      <c r="Q17" s="11"/>
      <c r="R17" s="11"/>
      <c r="S17" s="11"/>
      <c r="T17" s="11"/>
    </row>
    <row r="18" spans="1:20" ht="16.5" x14ac:dyDescent="0.25">
      <c r="B18" s="3" t="s">
        <v>10</v>
      </c>
      <c r="C18" s="4" t="s">
        <v>85</v>
      </c>
      <c r="D18" s="4" t="s">
        <v>85</v>
      </c>
      <c r="E18" s="6">
        <v>1</v>
      </c>
      <c r="F18" s="3"/>
      <c r="G18" s="3"/>
      <c r="H18" s="3"/>
      <c r="I18" s="3"/>
      <c r="J18" s="3"/>
      <c r="K18" s="3"/>
      <c r="L18" s="3"/>
      <c r="M18" s="4"/>
      <c r="N18" s="11"/>
      <c r="O18" s="11"/>
      <c r="P18" s="11" t="s">
        <v>25</v>
      </c>
      <c r="Q18" s="11"/>
      <c r="R18" s="11"/>
      <c r="S18" s="11"/>
      <c r="T18" s="11"/>
    </row>
    <row r="19" spans="1:20" ht="16.5" x14ac:dyDescent="0.25">
      <c r="B19" s="3" t="s">
        <v>6</v>
      </c>
      <c r="C19" s="4" t="s">
        <v>85</v>
      </c>
      <c r="D19" s="4" t="s">
        <v>86</v>
      </c>
      <c r="E19" s="6" t="s">
        <v>21</v>
      </c>
      <c r="F19" s="3"/>
      <c r="G19" s="3"/>
      <c r="H19" s="3"/>
      <c r="I19" s="3"/>
      <c r="J19" s="3"/>
      <c r="K19" s="3"/>
      <c r="L19" s="3"/>
      <c r="M19" s="4"/>
    </row>
    <row r="20" spans="1:20" ht="16.5" x14ac:dyDescent="0.25">
      <c r="A20" s="3"/>
      <c r="B20" s="3" t="s">
        <v>6</v>
      </c>
      <c r="C20" s="4" t="s">
        <v>86</v>
      </c>
      <c r="D20" s="3" t="s">
        <v>15</v>
      </c>
      <c r="E20" s="3" t="s">
        <v>21</v>
      </c>
      <c r="F20" s="3"/>
      <c r="G20" s="3"/>
      <c r="H20" s="3"/>
      <c r="I20" s="3"/>
      <c r="J20" s="3"/>
      <c r="K20" s="3"/>
      <c r="L20" s="3"/>
      <c r="M20" s="4"/>
    </row>
    <row r="21" spans="1:20" ht="16.5" x14ac:dyDescent="0.25">
      <c r="A21" s="3"/>
      <c r="B21" s="3" t="s">
        <v>14</v>
      </c>
      <c r="C21" s="3"/>
      <c r="E21" s="3"/>
      <c r="F21" s="3"/>
      <c r="G21" s="3"/>
      <c r="H21" s="3"/>
      <c r="I21" s="3"/>
      <c r="J21" s="3"/>
      <c r="K21" s="3"/>
      <c r="L21" s="3"/>
      <c r="M21" s="4"/>
    </row>
    <row r="22" spans="1:20" ht="16.5" x14ac:dyDescent="0.25">
      <c r="A22" s="3" t="s">
        <v>17</v>
      </c>
      <c r="B22" s="3" t="s">
        <v>6</v>
      </c>
      <c r="C22" s="3" t="s">
        <v>15</v>
      </c>
      <c r="D22" s="6" t="s">
        <v>36</v>
      </c>
      <c r="E22" s="3" t="s">
        <v>21</v>
      </c>
      <c r="F22" s="3"/>
      <c r="G22" s="3"/>
      <c r="H22" s="3"/>
      <c r="I22" s="3"/>
      <c r="J22" s="3"/>
      <c r="K22" s="3"/>
      <c r="L22" s="3"/>
      <c r="M22" s="4"/>
    </row>
    <row r="23" spans="1:20" ht="16.5" x14ac:dyDescent="0.25">
      <c r="A23" s="3" t="s">
        <v>93</v>
      </c>
      <c r="B23" s="3" t="s">
        <v>6</v>
      </c>
      <c r="C23" s="6" t="s">
        <v>36</v>
      </c>
      <c r="D23" s="6" t="s">
        <v>35</v>
      </c>
      <c r="E23" s="3" t="s">
        <v>21</v>
      </c>
      <c r="F23" s="3"/>
      <c r="G23" s="3"/>
      <c r="H23" s="3"/>
      <c r="I23" s="3"/>
      <c r="J23" s="3"/>
      <c r="K23" s="3"/>
      <c r="L23" s="3"/>
      <c r="M23" s="4"/>
    </row>
    <row r="24" spans="1:20" ht="16.5" x14ac:dyDescent="0.25">
      <c r="A24" s="3"/>
      <c r="B24" s="3" t="s">
        <v>12</v>
      </c>
      <c r="C24" s="6" t="s">
        <v>35</v>
      </c>
      <c r="D24" s="6" t="s">
        <v>35</v>
      </c>
      <c r="E24" s="3" t="s">
        <v>22</v>
      </c>
      <c r="F24" s="3"/>
      <c r="G24" s="3"/>
      <c r="H24" s="3"/>
      <c r="I24" s="3"/>
      <c r="J24" s="3"/>
      <c r="K24" s="3"/>
      <c r="L24" s="3"/>
      <c r="M24" s="4"/>
    </row>
    <row r="25" spans="1:20" ht="16.5" x14ac:dyDescent="0.25">
      <c r="A25" s="3"/>
      <c r="B25" s="3" t="s">
        <v>8</v>
      </c>
      <c r="C25" s="6" t="s">
        <v>35</v>
      </c>
      <c r="D25" s="6" t="s">
        <v>36</v>
      </c>
      <c r="E25" s="3" t="s">
        <v>21</v>
      </c>
      <c r="F25" s="3"/>
      <c r="G25" s="3"/>
      <c r="H25" s="3"/>
      <c r="I25" s="3"/>
      <c r="J25" s="3"/>
      <c r="K25" s="3"/>
      <c r="L25" s="3"/>
      <c r="M25" s="4"/>
    </row>
    <row r="26" spans="1:20" ht="16.5" x14ac:dyDescent="0.25">
      <c r="A26" s="3"/>
      <c r="B26" s="3" t="s">
        <v>8</v>
      </c>
      <c r="C26" s="6" t="s">
        <v>36</v>
      </c>
      <c r="D26" s="4" t="s">
        <v>84</v>
      </c>
      <c r="E26" s="3" t="s">
        <v>21</v>
      </c>
      <c r="F26" s="3"/>
      <c r="G26" s="3"/>
      <c r="H26" s="3"/>
      <c r="I26" s="3"/>
      <c r="J26" s="3"/>
      <c r="K26" s="3"/>
      <c r="L26" s="3"/>
      <c r="M26" s="4"/>
    </row>
    <row r="27" spans="1:20" ht="16.5" x14ac:dyDescent="0.25">
      <c r="A27" s="3"/>
      <c r="B27" s="3" t="s">
        <v>8</v>
      </c>
      <c r="C27" s="4" t="s">
        <v>84</v>
      </c>
      <c r="D27" s="4" t="s">
        <v>83</v>
      </c>
      <c r="E27" s="3" t="s">
        <v>21</v>
      </c>
      <c r="F27" s="3"/>
      <c r="G27" s="3"/>
      <c r="H27" s="3"/>
      <c r="I27" s="3"/>
      <c r="J27" s="3"/>
      <c r="K27" s="3"/>
      <c r="L27" s="3"/>
      <c r="M27" s="4"/>
    </row>
    <row r="28" spans="1:20" ht="16.5" x14ac:dyDescent="0.25">
      <c r="B28" s="3" t="s">
        <v>10</v>
      </c>
      <c r="C28" s="4" t="s">
        <v>83</v>
      </c>
      <c r="D28" s="4" t="s">
        <v>83</v>
      </c>
      <c r="E28" s="6">
        <v>1</v>
      </c>
      <c r="F28" s="3"/>
      <c r="G28" s="3"/>
      <c r="H28" s="3"/>
      <c r="I28" s="3"/>
      <c r="J28" s="3"/>
      <c r="K28" s="3"/>
      <c r="L28" s="3"/>
      <c r="M28" s="4"/>
    </row>
    <row r="29" spans="1:20" ht="16.5" x14ac:dyDescent="0.25">
      <c r="B29" s="3" t="s">
        <v>6</v>
      </c>
      <c r="C29" s="4" t="s">
        <v>83</v>
      </c>
      <c r="D29" s="4" t="s">
        <v>84</v>
      </c>
      <c r="E29" s="6" t="s">
        <v>21</v>
      </c>
      <c r="F29" s="3"/>
      <c r="G29" s="3"/>
      <c r="H29" s="3"/>
      <c r="I29" s="3"/>
      <c r="J29" s="3"/>
      <c r="K29" s="3"/>
      <c r="L29" s="3"/>
      <c r="M29" s="4"/>
    </row>
    <row r="30" spans="1:20" ht="16.5" x14ac:dyDescent="0.25">
      <c r="A30" s="3"/>
      <c r="B30" s="3" t="s">
        <v>6</v>
      </c>
      <c r="C30" s="4" t="s">
        <v>84</v>
      </c>
      <c r="D30" s="3" t="s">
        <v>15</v>
      </c>
      <c r="E30" s="3" t="s">
        <v>21</v>
      </c>
      <c r="F30" s="3"/>
      <c r="G30" s="3"/>
      <c r="H30" s="3"/>
      <c r="I30" s="3"/>
      <c r="J30" s="3"/>
      <c r="K30" s="3"/>
      <c r="L30" s="3"/>
      <c r="M30" s="4"/>
    </row>
    <row r="31" spans="1:20" ht="16.5" x14ac:dyDescent="0.25">
      <c r="A31" s="3"/>
      <c r="B31" s="3" t="s">
        <v>14</v>
      </c>
      <c r="C31" s="3"/>
      <c r="E31" s="3"/>
      <c r="F31" s="3"/>
      <c r="G31" s="3"/>
      <c r="H31" s="3"/>
      <c r="I31" s="3"/>
      <c r="J31" s="3"/>
      <c r="K31" s="3"/>
      <c r="L31" s="3"/>
      <c r="M31" s="4"/>
    </row>
    <row r="32" spans="1:20" ht="16.5" x14ac:dyDescent="0.25">
      <c r="A32" s="3" t="s">
        <v>18</v>
      </c>
      <c r="B32" s="3" t="s">
        <v>6</v>
      </c>
      <c r="C32" s="3" t="s">
        <v>15</v>
      </c>
      <c r="D32" s="6" t="s">
        <v>39</v>
      </c>
      <c r="E32" s="3" t="s">
        <v>21</v>
      </c>
      <c r="F32" s="3"/>
      <c r="G32" s="3"/>
      <c r="H32" s="3"/>
      <c r="I32" s="3"/>
      <c r="J32" s="3"/>
      <c r="K32" s="3"/>
      <c r="L32" s="3"/>
      <c r="M32" s="4"/>
    </row>
    <row r="33" spans="1:13" ht="16.5" x14ac:dyDescent="0.25">
      <c r="A33" s="3"/>
      <c r="B33" s="3" t="s">
        <v>6</v>
      </c>
      <c r="C33" s="6" t="s">
        <v>39</v>
      </c>
      <c r="D33" s="6" t="s">
        <v>38</v>
      </c>
      <c r="E33" s="3" t="s">
        <v>21</v>
      </c>
      <c r="F33" s="3"/>
      <c r="G33" s="3"/>
      <c r="H33" s="3"/>
      <c r="I33" s="3"/>
      <c r="J33" s="3"/>
      <c r="K33" s="3"/>
      <c r="L33" s="3"/>
      <c r="M33" s="4"/>
    </row>
    <row r="34" spans="1:13" ht="16.5" x14ac:dyDescent="0.25">
      <c r="A34" s="3"/>
      <c r="B34" s="3" t="s">
        <v>12</v>
      </c>
      <c r="C34" s="6" t="s">
        <v>38</v>
      </c>
      <c r="D34" s="6" t="s">
        <v>37</v>
      </c>
      <c r="E34" s="3" t="s">
        <v>22</v>
      </c>
      <c r="F34" s="3"/>
      <c r="G34" s="3"/>
      <c r="H34" s="3"/>
      <c r="I34" s="3"/>
      <c r="J34" s="3"/>
      <c r="K34" s="3"/>
      <c r="L34" s="3"/>
      <c r="M34" s="4"/>
    </row>
    <row r="35" spans="1:13" ht="16.5" x14ac:dyDescent="0.25">
      <c r="A35" s="3"/>
      <c r="B35" s="3" t="s">
        <v>8</v>
      </c>
      <c r="C35" s="6" t="s">
        <v>38</v>
      </c>
      <c r="D35" s="6" t="s">
        <v>39</v>
      </c>
      <c r="E35" s="3" t="s">
        <v>21</v>
      </c>
      <c r="F35" s="3"/>
      <c r="G35" s="3"/>
      <c r="H35" s="3"/>
      <c r="I35" s="3"/>
      <c r="J35" s="3"/>
      <c r="K35" s="3"/>
      <c r="L35" s="3"/>
      <c r="M35" s="4"/>
    </row>
    <row r="36" spans="1:13" ht="16.5" x14ac:dyDescent="0.25">
      <c r="A36" s="3"/>
      <c r="B36" s="3" t="s">
        <v>8</v>
      </c>
      <c r="C36" s="6" t="s">
        <v>39</v>
      </c>
      <c r="D36" s="4" t="s">
        <v>88</v>
      </c>
      <c r="E36" s="3" t="s">
        <v>21</v>
      </c>
      <c r="F36" s="3"/>
      <c r="G36" s="3"/>
      <c r="H36" s="3"/>
      <c r="I36" s="3"/>
      <c r="J36" s="3"/>
      <c r="K36" s="3"/>
      <c r="L36" s="3"/>
      <c r="M36" s="4"/>
    </row>
    <row r="37" spans="1:13" ht="16.5" x14ac:dyDescent="0.25">
      <c r="B37" s="3" t="s">
        <v>8</v>
      </c>
      <c r="C37" s="4" t="s">
        <v>88</v>
      </c>
      <c r="D37" s="4" t="s">
        <v>87</v>
      </c>
      <c r="E37" s="3" t="s">
        <v>21</v>
      </c>
      <c r="F37" s="3"/>
      <c r="G37" s="3"/>
      <c r="H37" s="3"/>
      <c r="I37" s="3"/>
      <c r="J37" s="3"/>
      <c r="K37" s="3"/>
      <c r="L37" s="3"/>
      <c r="M37" s="4"/>
    </row>
    <row r="38" spans="1:13" ht="16.5" x14ac:dyDescent="0.25">
      <c r="B38" s="3" t="s">
        <v>10</v>
      </c>
      <c r="C38" s="4" t="s">
        <v>87</v>
      </c>
      <c r="D38" s="4" t="s">
        <v>87</v>
      </c>
      <c r="E38" s="6">
        <v>1</v>
      </c>
      <c r="F38" s="3"/>
      <c r="G38" s="3"/>
      <c r="H38" s="3"/>
      <c r="I38" s="3"/>
      <c r="J38" s="3"/>
      <c r="K38" s="3"/>
      <c r="L38" s="3"/>
      <c r="M38" s="4"/>
    </row>
    <row r="39" spans="1:13" ht="16.5" x14ac:dyDescent="0.25">
      <c r="A39" s="3"/>
      <c r="B39" s="3" t="s">
        <v>6</v>
      </c>
      <c r="C39" s="4" t="s">
        <v>87</v>
      </c>
      <c r="D39" s="4" t="s">
        <v>88</v>
      </c>
      <c r="E39" s="6" t="s">
        <v>21</v>
      </c>
      <c r="F39" s="3"/>
      <c r="G39" s="3"/>
      <c r="H39" s="3"/>
      <c r="I39" s="3"/>
      <c r="J39" s="3"/>
      <c r="K39" s="3"/>
      <c r="L39" s="3"/>
      <c r="M39" s="4"/>
    </row>
    <row r="40" spans="1:13" ht="16.5" x14ac:dyDescent="0.25">
      <c r="A40" s="3"/>
      <c r="B40" s="3" t="s">
        <v>6</v>
      </c>
      <c r="C40" s="4" t="s">
        <v>88</v>
      </c>
      <c r="D40" s="3" t="s">
        <v>15</v>
      </c>
      <c r="E40" s="3" t="s">
        <v>21</v>
      </c>
      <c r="F40" s="3"/>
      <c r="G40" s="3"/>
      <c r="H40" s="3"/>
      <c r="I40" s="3"/>
      <c r="J40" s="3"/>
      <c r="K40" s="3"/>
      <c r="L40" s="3"/>
      <c r="M40" s="4"/>
    </row>
    <row r="41" spans="1:13" ht="16.5" x14ac:dyDescent="0.25">
      <c r="A41" s="3"/>
      <c r="B41" s="3" t="s">
        <v>14</v>
      </c>
      <c r="C41" s="3"/>
      <c r="E41" s="3"/>
      <c r="F41" s="3"/>
      <c r="G41" s="3"/>
      <c r="H41" s="3"/>
      <c r="I41" s="3"/>
      <c r="J41" s="3"/>
      <c r="K41" s="3"/>
      <c r="L41" s="3"/>
      <c r="M41" s="4"/>
    </row>
    <row r="42" spans="1:13" ht="16.5" x14ac:dyDescent="0.25">
      <c r="A42" s="3" t="s">
        <v>19</v>
      </c>
      <c r="B42" s="3" t="s">
        <v>6</v>
      </c>
      <c r="C42" s="3" t="s">
        <v>15</v>
      </c>
      <c r="D42" s="6" t="s">
        <v>41</v>
      </c>
      <c r="E42" s="3" t="s">
        <v>21</v>
      </c>
      <c r="F42" s="1"/>
      <c r="G42" s="1"/>
      <c r="H42" s="1"/>
      <c r="I42" s="1"/>
      <c r="J42" s="1"/>
      <c r="K42" s="1"/>
      <c r="L42" s="1"/>
    </row>
    <row r="43" spans="1:13" ht="16.5" x14ac:dyDescent="0.25">
      <c r="A43" s="3" t="s">
        <v>91</v>
      </c>
      <c r="B43" s="3" t="s">
        <v>6</v>
      </c>
      <c r="C43" s="6" t="s">
        <v>41</v>
      </c>
      <c r="D43" s="6" t="s">
        <v>40</v>
      </c>
      <c r="E43" s="3" t="s">
        <v>21</v>
      </c>
      <c r="F43" s="1"/>
      <c r="G43" s="1"/>
      <c r="H43" s="1"/>
      <c r="I43" s="1"/>
      <c r="J43" s="1"/>
      <c r="K43" s="1"/>
      <c r="L43" s="1"/>
    </row>
    <row r="44" spans="1:13" ht="16.5" x14ac:dyDescent="0.25">
      <c r="A44" s="3"/>
      <c r="B44" s="3" t="s">
        <v>12</v>
      </c>
      <c r="C44" s="6" t="s">
        <v>40</v>
      </c>
      <c r="D44" s="6" t="s">
        <v>40</v>
      </c>
      <c r="E44" s="3" t="s">
        <v>22</v>
      </c>
      <c r="F44" s="1"/>
      <c r="G44" s="1"/>
      <c r="H44" s="1"/>
      <c r="I44" s="1"/>
      <c r="J44" s="1"/>
      <c r="K44" s="1"/>
      <c r="L44" s="1"/>
    </row>
    <row r="45" spans="1:13" ht="16.5" x14ac:dyDescent="0.25">
      <c r="A45" s="3"/>
      <c r="B45" s="3" t="s">
        <v>8</v>
      </c>
      <c r="C45" s="6" t="s">
        <v>40</v>
      </c>
      <c r="D45" s="6" t="s">
        <v>41</v>
      </c>
      <c r="E45" s="3" t="s">
        <v>21</v>
      </c>
      <c r="F45" s="1"/>
      <c r="G45" s="1"/>
      <c r="H45" s="1"/>
      <c r="I45" s="1"/>
      <c r="J45" s="1"/>
      <c r="K45" s="1"/>
      <c r="L45" s="1"/>
    </row>
    <row r="46" spans="1:13" ht="16.5" x14ac:dyDescent="0.25">
      <c r="A46" s="3"/>
      <c r="B46" s="3" t="s">
        <v>8</v>
      </c>
      <c r="C46" s="6" t="s">
        <v>41</v>
      </c>
      <c r="D46" s="4" t="s">
        <v>88</v>
      </c>
      <c r="E46" s="3" t="s">
        <v>21</v>
      </c>
      <c r="F46" s="1"/>
      <c r="G46" s="1"/>
      <c r="H46" s="1"/>
      <c r="I46" s="1"/>
      <c r="J46" s="1"/>
      <c r="K46" s="1"/>
      <c r="L46" s="1"/>
    </row>
    <row r="47" spans="1:13" ht="16.5" x14ac:dyDescent="0.25">
      <c r="A47" s="3"/>
      <c r="B47" s="3" t="s">
        <v>8</v>
      </c>
      <c r="C47" s="4" t="s">
        <v>88</v>
      </c>
      <c r="D47" s="4" t="s">
        <v>87</v>
      </c>
      <c r="E47" s="3" t="s">
        <v>21</v>
      </c>
      <c r="F47" s="1"/>
      <c r="G47" s="1"/>
      <c r="H47" s="1"/>
      <c r="I47" s="1"/>
      <c r="J47" s="1"/>
      <c r="K47" s="1"/>
      <c r="L47" s="1"/>
    </row>
    <row r="48" spans="1:13" ht="16.5" x14ac:dyDescent="0.25">
      <c r="B48" s="3" t="s">
        <v>10</v>
      </c>
      <c r="C48" s="4" t="s">
        <v>87</v>
      </c>
      <c r="D48" s="4" t="s">
        <v>87</v>
      </c>
      <c r="E48" s="6">
        <v>1</v>
      </c>
    </row>
    <row r="49" spans="1:5" ht="16.5" x14ac:dyDescent="0.25">
      <c r="B49" s="3" t="s">
        <v>6</v>
      </c>
      <c r="C49" s="4" t="s">
        <v>87</v>
      </c>
      <c r="D49" s="4" t="s">
        <v>88</v>
      </c>
      <c r="E49" s="6" t="s">
        <v>21</v>
      </c>
    </row>
    <row r="50" spans="1:5" ht="16.5" x14ac:dyDescent="0.25">
      <c r="A50" s="3"/>
      <c r="B50" s="3" t="s">
        <v>6</v>
      </c>
      <c r="C50" s="4" t="s">
        <v>88</v>
      </c>
      <c r="D50" s="3" t="s">
        <v>15</v>
      </c>
      <c r="E50" s="3" t="s">
        <v>21</v>
      </c>
    </row>
    <row r="51" spans="1:5" ht="16.5" x14ac:dyDescent="0.25">
      <c r="A51" s="3"/>
      <c r="B51" s="3" t="s">
        <v>14</v>
      </c>
      <c r="C51" s="3"/>
      <c r="E51" s="3"/>
    </row>
    <row r="52" spans="1:5" ht="16.5" x14ac:dyDescent="0.25">
      <c r="A52" s="3" t="s">
        <v>19</v>
      </c>
      <c r="B52" s="3" t="s">
        <v>6</v>
      </c>
      <c r="C52" s="3" t="s">
        <v>15</v>
      </c>
      <c r="D52" s="6" t="s">
        <v>41</v>
      </c>
      <c r="E52" s="3" t="s">
        <v>21</v>
      </c>
    </row>
    <row r="53" spans="1:5" ht="16.5" x14ac:dyDescent="0.25">
      <c r="A53" s="3" t="s">
        <v>92</v>
      </c>
      <c r="B53" s="3" t="s">
        <v>6</v>
      </c>
      <c r="C53" s="6" t="s">
        <v>41</v>
      </c>
      <c r="D53" s="6" t="s">
        <v>40</v>
      </c>
      <c r="E53" s="3" t="s">
        <v>21</v>
      </c>
    </row>
    <row r="54" spans="1:5" ht="16.5" x14ac:dyDescent="0.25">
      <c r="A54" s="3"/>
      <c r="B54" s="3" t="s">
        <v>12</v>
      </c>
      <c r="C54" s="6" t="s">
        <v>40</v>
      </c>
      <c r="D54" s="6" t="s">
        <v>40</v>
      </c>
      <c r="E54" s="3" t="s">
        <v>22</v>
      </c>
    </row>
    <row r="55" spans="1:5" ht="16.5" x14ac:dyDescent="0.25">
      <c r="A55" s="3"/>
      <c r="B55" s="3" t="s">
        <v>8</v>
      </c>
      <c r="C55" s="6" t="s">
        <v>40</v>
      </c>
      <c r="D55" s="6" t="s">
        <v>41</v>
      </c>
      <c r="E55" s="3" t="s">
        <v>21</v>
      </c>
    </row>
    <row r="56" spans="1:5" ht="16.5" x14ac:dyDescent="0.25">
      <c r="A56" s="3"/>
      <c r="B56" s="3" t="s">
        <v>8</v>
      </c>
      <c r="C56" s="6" t="s">
        <v>41</v>
      </c>
      <c r="D56" s="4" t="s">
        <v>86</v>
      </c>
      <c r="E56" s="3" t="s">
        <v>21</v>
      </c>
    </row>
    <row r="57" spans="1:5" ht="16.5" x14ac:dyDescent="0.25">
      <c r="A57" s="3"/>
      <c r="B57" s="3" t="s">
        <v>8</v>
      </c>
      <c r="C57" s="4" t="s">
        <v>86</v>
      </c>
      <c r="D57" s="4" t="s">
        <v>85</v>
      </c>
      <c r="E57" s="3" t="s">
        <v>21</v>
      </c>
    </row>
    <row r="58" spans="1:5" ht="16.5" x14ac:dyDescent="0.25">
      <c r="B58" s="3" t="s">
        <v>10</v>
      </c>
      <c r="C58" s="4" t="s">
        <v>85</v>
      </c>
      <c r="D58" s="4" t="s">
        <v>85</v>
      </c>
      <c r="E58" s="6">
        <v>1</v>
      </c>
    </row>
    <row r="59" spans="1:5" ht="16.5" x14ac:dyDescent="0.25">
      <c r="B59" s="3" t="s">
        <v>6</v>
      </c>
      <c r="C59" s="4" t="s">
        <v>85</v>
      </c>
      <c r="D59" s="4" t="s">
        <v>86</v>
      </c>
      <c r="E59" s="6" t="s">
        <v>21</v>
      </c>
    </row>
    <row r="60" spans="1:5" ht="16.5" x14ac:dyDescent="0.25">
      <c r="A60" s="3"/>
      <c r="B60" s="3" t="s">
        <v>6</v>
      </c>
      <c r="C60" s="4" t="s">
        <v>86</v>
      </c>
      <c r="D60" s="3" t="s">
        <v>15</v>
      </c>
      <c r="E60" s="3" t="s">
        <v>21</v>
      </c>
    </row>
    <row r="61" spans="1:5" ht="16.5" x14ac:dyDescent="0.25">
      <c r="A61" s="3"/>
      <c r="B61" s="3" t="s">
        <v>14</v>
      </c>
      <c r="C61" s="3"/>
      <c r="E61" s="3"/>
    </row>
    <row r="62" spans="1:5" ht="16.5" x14ac:dyDescent="0.25">
      <c r="A62" s="3" t="s">
        <v>0</v>
      </c>
      <c r="B62" s="3" t="s">
        <v>6</v>
      </c>
      <c r="C62" s="3" t="s">
        <v>15</v>
      </c>
      <c r="D62" s="6" t="s">
        <v>53</v>
      </c>
      <c r="E62" s="5" t="s">
        <v>21</v>
      </c>
    </row>
    <row r="63" spans="1:5" ht="16.5" x14ac:dyDescent="0.25">
      <c r="A63" s="3"/>
      <c r="B63" s="3" t="s">
        <v>6</v>
      </c>
      <c r="C63" s="6" t="s">
        <v>53</v>
      </c>
      <c r="D63" s="6" t="s">
        <v>42</v>
      </c>
      <c r="E63" s="5" t="s">
        <v>21</v>
      </c>
    </row>
    <row r="64" spans="1:5" ht="16.5" x14ac:dyDescent="0.25">
      <c r="B64" s="3" t="s">
        <v>12</v>
      </c>
      <c r="C64" s="6" t="s">
        <v>42</v>
      </c>
      <c r="D64" s="6" t="s">
        <v>42</v>
      </c>
      <c r="E64" s="6" t="s">
        <v>23</v>
      </c>
    </row>
    <row r="65" spans="1:12" ht="16.5" x14ac:dyDescent="0.25">
      <c r="B65" s="3" t="s">
        <v>8</v>
      </c>
      <c r="C65" s="6" t="s">
        <v>42</v>
      </c>
      <c r="D65" s="6" t="s">
        <v>53</v>
      </c>
      <c r="E65" s="5" t="s">
        <v>21</v>
      </c>
      <c r="L65" s="6"/>
    </row>
    <row r="66" spans="1:12" ht="16.5" x14ac:dyDescent="0.25">
      <c r="B66" s="3" t="s">
        <v>8</v>
      </c>
      <c r="C66" s="6" t="s">
        <v>53</v>
      </c>
      <c r="D66" s="6" t="s">
        <v>63</v>
      </c>
      <c r="E66" s="5" t="s">
        <v>21</v>
      </c>
      <c r="L66" s="6"/>
    </row>
    <row r="67" spans="1:12" ht="16.5" x14ac:dyDescent="0.25">
      <c r="A67" s="3"/>
      <c r="B67" s="3" t="s">
        <v>8</v>
      </c>
      <c r="C67" s="6" t="s">
        <v>63</v>
      </c>
      <c r="D67" s="6" t="s">
        <v>52</v>
      </c>
      <c r="E67" s="5" t="s">
        <v>21</v>
      </c>
      <c r="L67" s="4"/>
    </row>
    <row r="68" spans="1:12" ht="16.5" x14ac:dyDescent="0.25">
      <c r="A68" s="3"/>
      <c r="B68" s="3" t="s">
        <v>10</v>
      </c>
      <c r="C68" s="6" t="s">
        <v>52</v>
      </c>
      <c r="D68" s="6" t="s">
        <v>52</v>
      </c>
      <c r="E68" s="6">
        <v>1</v>
      </c>
      <c r="L68" s="4"/>
    </row>
    <row r="69" spans="1:12" ht="16.5" x14ac:dyDescent="0.25">
      <c r="A69" s="3"/>
      <c r="B69" s="3" t="s">
        <v>6</v>
      </c>
      <c r="C69" s="6" t="s">
        <v>52</v>
      </c>
      <c r="D69" s="6" t="s">
        <v>63</v>
      </c>
      <c r="E69" s="6" t="s">
        <v>21</v>
      </c>
      <c r="L69" s="6"/>
    </row>
    <row r="70" spans="1:12" ht="16.5" x14ac:dyDescent="0.25">
      <c r="A70" s="3"/>
      <c r="B70" s="3" t="s">
        <v>6</v>
      </c>
      <c r="C70" s="6" t="s">
        <v>63</v>
      </c>
      <c r="D70" s="4" t="s">
        <v>90</v>
      </c>
      <c r="E70" s="6" t="s">
        <v>21</v>
      </c>
      <c r="L70" s="6"/>
    </row>
    <row r="71" spans="1:12" ht="16.5" x14ac:dyDescent="0.25">
      <c r="A71" s="3"/>
      <c r="B71" s="3" t="s">
        <v>12</v>
      </c>
      <c r="C71" s="4" t="s">
        <v>90</v>
      </c>
      <c r="D71" s="4" t="s">
        <v>90</v>
      </c>
      <c r="E71" s="6" t="s">
        <v>23</v>
      </c>
    </row>
    <row r="72" spans="1:12" ht="16.5" x14ac:dyDescent="0.25">
      <c r="A72" s="3"/>
      <c r="B72" s="3" t="s">
        <v>8</v>
      </c>
      <c r="C72" s="4" t="s">
        <v>90</v>
      </c>
      <c r="D72" s="4" t="s">
        <v>89</v>
      </c>
      <c r="E72" s="6" t="s">
        <v>21</v>
      </c>
    </row>
    <row r="73" spans="1:12" ht="16.5" x14ac:dyDescent="0.25">
      <c r="A73" s="3"/>
      <c r="B73" s="3" t="s">
        <v>8</v>
      </c>
      <c r="C73" s="4" t="s">
        <v>89</v>
      </c>
      <c r="D73" s="6" t="s">
        <v>53</v>
      </c>
      <c r="E73" s="6" t="s">
        <v>21</v>
      </c>
    </row>
    <row r="74" spans="1:12" ht="16.5" x14ac:dyDescent="0.25">
      <c r="B74" s="3" t="s">
        <v>8</v>
      </c>
      <c r="C74" s="6" t="s">
        <v>53</v>
      </c>
      <c r="D74" s="6" t="s">
        <v>42</v>
      </c>
      <c r="E74" s="6" t="s">
        <v>21</v>
      </c>
    </row>
    <row r="75" spans="1:12" ht="16.5" x14ac:dyDescent="0.25">
      <c r="B75" s="3" t="s">
        <v>10</v>
      </c>
      <c r="C75" s="6" t="s">
        <v>42</v>
      </c>
      <c r="D75" s="6" t="s">
        <v>42</v>
      </c>
      <c r="E75" s="6">
        <v>1</v>
      </c>
    </row>
    <row r="76" spans="1:12" ht="16.5" x14ac:dyDescent="0.25">
      <c r="B76" s="3" t="s">
        <v>6</v>
      </c>
      <c r="C76" s="6" t="s">
        <v>42</v>
      </c>
      <c r="D76" s="6" t="s">
        <v>53</v>
      </c>
      <c r="E76" s="6" t="s">
        <v>21</v>
      </c>
    </row>
    <row r="77" spans="1:12" ht="16.5" x14ac:dyDescent="0.25">
      <c r="B77" s="3" t="s">
        <v>6</v>
      </c>
      <c r="C77" s="6" t="s">
        <v>53</v>
      </c>
      <c r="D77" s="3" t="s">
        <v>15</v>
      </c>
      <c r="E77" s="6" t="s">
        <v>21</v>
      </c>
    </row>
    <row r="78" spans="1:12" ht="16.5" x14ac:dyDescent="0.25">
      <c r="B78" s="3" t="s">
        <v>14</v>
      </c>
      <c r="E78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A618-1AAF-4016-A555-23089F89DD01}">
  <dimension ref="A1:O92"/>
  <sheetViews>
    <sheetView workbookViewId="0">
      <selection activeCell="D7" sqref="D7"/>
    </sheetView>
  </sheetViews>
  <sheetFormatPr defaultRowHeight="15.75" x14ac:dyDescent="0.25"/>
  <cols>
    <col min="1" max="1" width="35" customWidth="1"/>
    <col min="2" max="2" width="13" customWidth="1"/>
    <col min="3" max="3" width="12.85546875" customWidth="1"/>
    <col min="4" max="4" width="11.7109375" customWidth="1"/>
    <col min="5" max="5" width="40.28515625" customWidth="1"/>
    <col min="15" max="15" width="13.85546875" customWidth="1"/>
  </cols>
  <sheetData>
    <row r="1" spans="1:5" ht="16.5" x14ac:dyDescent="0.25">
      <c r="A1" s="2" t="s">
        <v>26</v>
      </c>
      <c r="B1" s="2" t="s">
        <v>27</v>
      </c>
      <c r="C1" s="2" t="s">
        <v>28</v>
      </c>
      <c r="D1" s="2" t="s">
        <v>29</v>
      </c>
    </row>
    <row r="2" spans="1:5" ht="16.5" x14ac:dyDescent="0.25">
      <c r="A2" s="4" t="s">
        <v>30</v>
      </c>
      <c r="B2" s="6">
        <v>-20</v>
      </c>
      <c r="C2" s="6">
        <v>-50</v>
      </c>
      <c r="D2" s="6">
        <v>2</v>
      </c>
      <c r="E2" s="10" t="s">
        <v>95</v>
      </c>
    </row>
    <row r="3" spans="1:5" ht="16.5" x14ac:dyDescent="0.25">
      <c r="A3" s="4" t="s">
        <v>31</v>
      </c>
      <c r="B3" s="6">
        <v>10</v>
      </c>
      <c r="C3" s="6">
        <v>-50</v>
      </c>
      <c r="D3" s="6">
        <v>2</v>
      </c>
      <c r="E3" s="10" t="s">
        <v>95</v>
      </c>
    </row>
    <row r="4" spans="1:5" x14ac:dyDescent="0.25">
      <c r="A4" s="6" t="s">
        <v>33</v>
      </c>
      <c r="B4" s="6">
        <v>32.5</v>
      </c>
      <c r="C4" s="6">
        <v>-2.5</v>
      </c>
      <c r="D4" s="6">
        <f>7+D2</f>
        <v>9</v>
      </c>
    </row>
    <row r="5" spans="1:5" x14ac:dyDescent="0.25">
      <c r="A5" s="6" t="s">
        <v>34</v>
      </c>
      <c r="B5" s="6">
        <v>32.5</v>
      </c>
      <c r="C5" s="6">
        <v>-2.5</v>
      </c>
      <c r="D5" s="6">
        <f>D4+6</f>
        <v>15</v>
      </c>
    </row>
    <row r="6" spans="1:5" x14ac:dyDescent="0.25">
      <c r="A6" s="6" t="s">
        <v>35</v>
      </c>
      <c r="B6" s="6">
        <v>15</v>
      </c>
      <c r="C6" s="6">
        <v>-17.5</v>
      </c>
      <c r="D6" s="6">
        <f>D4</f>
        <v>9</v>
      </c>
    </row>
    <row r="7" spans="1:5" x14ac:dyDescent="0.25">
      <c r="A7" s="6" t="s">
        <v>36</v>
      </c>
      <c r="B7" s="6">
        <v>15</v>
      </c>
      <c r="C7" s="6">
        <v>-17.5</v>
      </c>
      <c r="D7" s="6">
        <f>D5</f>
        <v>15</v>
      </c>
    </row>
    <row r="8" spans="1:5" x14ac:dyDescent="0.25">
      <c r="A8" s="6" t="s">
        <v>38</v>
      </c>
      <c r="B8" s="6">
        <v>32.5</v>
      </c>
      <c r="C8" s="6">
        <v>-17.5</v>
      </c>
      <c r="D8" s="6">
        <f>D6</f>
        <v>9</v>
      </c>
    </row>
    <row r="9" spans="1:5" x14ac:dyDescent="0.25">
      <c r="A9" s="6" t="s">
        <v>39</v>
      </c>
      <c r="B9" s="6">
        <v>32.5</v>
      </c>
      <c r="C9" s="6">
        <v>-17.5</v>
      </c>
      <c r="D9" s="6">
        <f>D7</f>
        <v>15</v>
      </c>
    </row>
    <row r="10" spans="1:5" x14ac:dyDescent="0.25">
      <c r="A10" s="6" t="s">
        <v>40</v>
      </c>
      <c r="B10" s="6">
        <v>32.5</v>
      </c>
      <c r="C10" s="6">
        <v>-32.5</v>
      </c>
      <c r="D10" s="6">
        <f>D8</f>
        <v>9</v>
      </c>
    </row>
    <row r="11" spans="1:5" x14ac:dyDescent="0.25">
      <c r="A11" s="6" t="s">
        <v>41</v>
      </c>
      <c r="B11" s="6">
        <v>32.5</v>
      </c>
      <c r="C11" s="6">
        <v>-32.5</v>
      </c>
      <c r="D11" s="6">
        <f>D7</f>
        <v>15</v>
      </c>
    </row>
    <row r="12" spans="1:5" x14ac:dyDescent="0.25">
      <c r="A12" s="6" t="s">
        <v>42</v>
      </c>
      <c r="B12" s="6">
        <v>-5</v>
      </c>
      <c r="C12" s="6">
        <v>-32.5</v>
      </c>
      <c r="D12" s="6">
        <v>1.5</v>
      </c>
    </row>
    <row r="13" spans="1:5" x14ac:dyDescent="0.25">
      <c r="A13" s="6" t="s">
        <v>53</v>
      </c>
      <c r="B13" s="6">
        <v>-5</v>
      </c>
      <c r="C13" s="6">
        <v>-32.5</v>
      </c>
      <c r="D13" s="6">
        <f>D12+6</f>
        <v>7.5</v>
      </c>
    </row>
    <row r="14" spans="1:5" x14ac:dyDescent="0.25">
      <c r="A14" s="4" t="s">
        <v>64</v>
      </c>
      <c r="B14" s="6">
        <f>B12+10-10</f>
        <v>-5</v>
      </c>
      <c r="C14" s="6">
        <f>C12+7.5-4</f>
        <v>-29</v>
      </c>
      <c r="D14" s="6">
        <v>3</v>
      </c>
      <c r="E14" s="7" t="s">
        <v>44</v>
      </c>
    </row>
    <row r="15" spans="1:5" x14ac:dyDescent="0.25">
      <c r="A15" s="4" t="s">
        <v>65</v>
      </c>
      <c r="B15" s="6">
        <f>B13+10-10</f>
        <v>-5</v>
      </c>
      <c r="C15" s="6">
        <f>C13+7.5-4</f>
        <v>-29</v>
      </c>
      <c r="D15" s="6">
        <f>D14+6</f>
        <v>9</v>
      </c>
      <c r="E15" s="7" t="s">
        <v>54</v>
      </c>
    </row>
    <row r="16" spans="1:5" x14ac:dyDescent="0.25">
      <c r="A16" s="4" t="s">
        <v>66</v>
      </c>
      <c r="B16" s="6">
        <f>B12-10+6.5</f>
        <v>-8.5</v>
      </c>
      <c r="C16" s="6">
        <f>C12-7.5+4</f>
        <v>-36</v>
      </c>
      <c r="D16" s="6">
        <f>D14</f>
        <v>3</v>
      </c>
      <c r="E16" s="7" t="s">
        <v>43</v>
      </c>
    </row>
    <row r="17" spans="1:15" x14ac:dyDescent="0.25">
      <c r="A17" s="4" t="s">
        <v>67</v>
      </c>
      <c r="B17" s="6">
        <f>B13-10+6.5</f>
        <v>-8.5</v>
      </c>
      <c r="C17" s="6">
        <f>C13-7.5+4</f>
        <v>-36</v>
      </c>
      <c r="D17" s="6">
        <f>D15</f>
        <v>9</v>
      </c>
      <c r="E17" s="7" t="s">
        <v>55</v>
      </c>
    </row>
    <row r="18" spans="1:15" x14ac:dyDescent="0.25">
      <c r="A18" s="4" t="s">
        <v>68</v>
      </c>
      <c r="B18" s="6">
        <f>B16+9.5</f>
        <v>1</v>
      </c>
      <c r="C18" s="6">
        <f>C16</f>
        <v>-36</v>
      </c>
      <c r="D18" s="6">
        <f t="shared" ref="D18:D31" si="0">D16</f>
        <v>3</v>
      </c>
      <c r="E18" s="7" t="s">
        <v>45</v>
      </c>
      <c r="O18" s="4"/>
    </row>
    <row r="19" spans="1:15" x14ac:dyDescent="0.25">
      <c r="A19" s="4" t="s">
        <v>69</v>
      </c>
      <c r="B19" s="6">
        <f>B17+9.5</f>
        <v>1</v>
      </c>
      <c r="C19" s="6">
        <f>C17</f>
        <v>-36</v>
      </c>
      <c r="D19" s="6">
        <f t="shared" si="0"/>
        <v>9</v>
      </c>
      <c r="E19" s="7" t="s">
        <v>56</v>
      </c>
      <c r="O19" s="4"/>
    </row>
    <row r="20" spans="1:15" x14ac:dyDescent="0.25">
      <c r="A20" s="4" t="s">
        <v>70</v>
      </c>
      <c r="B20" s="6">
        <f>B14</f>
        <v>-5</v>
      </c>
      <c r="C20" s="6">
        <f>C14</f>
        <v>-29</v>
      </c>
      <c r="D20" s="6">
        <f t="shared" si="0"/>
        <v>3</v>
      </c>
      <c r="E20" s="7" t="s">
        <v>46</v>
      </c>
      <c r="O20" s="4"/>
    </row>
    <row r="21" spans="1:15" x14ac:dyDescent="0.25">
      <c r="A21" s="4" t="s">
        <v>71</v>
      </c>
      <c r="B21" s="6">
        <f>B15</f>
        <v>-5</v>
      </c>
      <c r="C21" s="6">
        <f>C15</f>
        <v>-29</v>
      </c>
      <c r="D21" s="6">
        <f t="shared" si="0"/>
        <v>9</v>
      </c>
      <c r="E21" s="7" t="s">
        <v>57</v>
      </c>
      <c r="O21" s="4"/>
    </row>
    <row r="22" spans="1:15" x14ac:dyDescent="0.25">
      <c r="A22" s="4" t="s">
        <v>72</v>
      </c>
      <c r="B22" s="6">
        <f>-15+4.8</f>
        <v>-10.199999999999999</v>
      </c>
      <c r="C22" s="6">
        <f>C16</f>
        <v>-36</v>
      </c>
      <c r="D22" s="6">
        <f t="shared" si="0"/>
        <v>3</v>
      </c>
      <c r="E22" s="7" t="s">
        <v>47</v>
      </c>
      <c r="O22" s="4"/>
    </row>
    <row r="23" spans="1:15" x14ac:dyDescent="0.25">
      <c r="A23" s="4" t="s">
        <v>73</v>
      </c>
      <c r="B23" s="6">
        <f>-15+4.8</f>
        <v>-10.199999999999999</v>
      </c>
      <c r="C23" s="6">
        <f t="shared" ref="C23:C25" si="1">C17</f>
        <v>-36</v>
      </c>
      <c r="D23" s="6">
        <f t="shared" si="0"/>
        <v>9</v>
      </c>
      <c r="E23" s="7" t="s">
        <v>58</v>
      </c>
      <c r="O23" s="4"/>
    </row>
    <row r="24" spans="1:15" x14ac:dyDescent="0.25">
      <c r="A24" s="4" t="s">
        <v>81</v>
      </c>
      <c r="B24" s="6">
        <f>5-4.8</f>
        <v>0.20000000000000018</v>
      </c>
      <c r="C24" s="6">
        <f t="shared" si="1"/>
        <v>-36</v>
      </c>
      <c r="D24" s="6">
        <f t="shared" si="0"/>
        <v>3</v>
      </c>
      <c r="E24" s="7" t="s">
        <v>48</v>
      </c>
    </row>
    <row r="25" spans="1:15" x14ac:dyDescent="0.25">
      <c r="A25" s="4" t="s">
        <v>80</v>
      </c>
      <c r="B25" s="6">
        <f>5-4.8</f>
        <v>0.20000000000000018</v>
      </c>
      <c r="C25" s="6">
        <f t="shared" si="1"/>
        <v>-36</v>
      </c>
      <c r="D25" s="6">
        <f t="shared" si="0"/>
        <v>9</v>
      </c>
      <c r="E25" s="7" t="s">
        <v>59</v>
      </c>
    </row>
    <row r="26" spans="1:15" x14ac:dyDescent="0.25">
      <c r="A26" s="4" t="s">
        <v>79</v>
      </c>
      <c r="B26" s="6">
        <f>B20</f>
        <v>-5</v>
      </c>
      <c r="C26" s="6">
        <f>C20</f>
        <v>-29</v>
      </c>
      <c r="D26" s="6">
        <f t="shared" si="0"/>
        <v>3</v>
      </c>
      <c r="E26" s="7" t="s">
        <v>49</v>
      </c>
    </row>
    <row r="27" spans="1:15" x14ac:dyDescent="0.25">
      <c r="A27" s="4" t="s">
        <v>78</v>
      </c>
      <c r="B27" s="6">
        <f>B21</f>
        <v>-5</v>
      </c>
      <c r="C27" s="6">
        <f t="shared" ref="C27:C31" si="2">C21</f>
        <v>-29</v>
      </c>
      <c r="D27" s="6">
        <f t="shared" si="0"/>
        <v>9</v>
      </c>
      <c r="E27" s="7" t="s">
        <v>60</v>
      </c>
    </row>
    <row r="28" spans="1:15" x14ac:dyDescent="0.25">
      <c r="A28" s="4" t="s">
        <v>77</v>
      </c>
      <c r="B28" s="6">
        <f>B22</f>
        <v>-10.199999999999999</v>
      </c>
      <c r="C28" s="6">
        <f t="shared" si="2"/>
        <v>-36</v>
      </c>
      <c r="D28" s="6">
        <f t="shared" si="0"/>
        <v>3</v>
      </c>
      <c r="E28" s="7" t="s">
        <v>50</v>
      </c>
    </row>
    <row r="29" spans="1:15" x14ac:dyDescent="0.25">
      <c r="A29" s="4" t="s">
        <v>76</v>
      </c>
      <c r="B29" s="6">
        <f t="shared" ref="B29:B31" si="3">B23</f>
        <v>-10.199999999999999</v>
      </c>
      <c r="C29" s="6">
        <f t="shared" si="2"/>
        <v>-36</v>
      </c>
      <c r="D29" s="6">
        <f t="shared" si="0"/>
        <v>9</v>
      </c>
      <c r="E29" s="7" t="s">
        <v>61</v>
      </c>
    </row>
    <row r="30" spans="1:15" x14ac:dyDescent="0.25">
      <c r="A30" s="4" t="s">
        <v>75</v>
      </c>
      <c r="B30" s="6">
        <f t="shared" si="3"/>
        <v>0.20000000000000018</v>
      </c>
      <c r="C30" s="6">
        <f t="shared" si="2"/>
        <v>-36</v>
      </c>
      <c r="D30" s="6">
        <f t="shared" si="0"/>
        <v>3</v>
      </c>
      <c r="E30" s="7" t="s">
        <v>51</v>
      </c>
    </row>
    <row r="31" spans="1:15" x14ac:dyDescent="0.25">
      <c r="A31" s="4" t="s">
        <v>74</v>
      </c>
      <c r="B31" s="6">
        <f t="shared" si="3"/>
        <v>0.20000000000000018</v>
      </c>
      <c r="C31" s="6">
        <f t="shared" si="2"/>
        <v>-36</v>
      </c>
      <c r="D31" s="6">
        <f t="shared" si="0"/>
        <v>9</v>
      </c>
      <c r="E31" s="7" t="s">
        <v>62</v>
      </c>
    </row>
    <row r="32" spans="1:15" x14ac:dyDescent="0.25">
      <c r="A32" s="4" t="s">
        <v>90</v>
      </c>
      <c r="B32" s="6">
        <v>-30</v>
      </c>
      <c r="C32" s="6">
        <v>-17.5</v>
      </c>
      <c r="D32" s="6">
        <v>3.75</v>
      </c>
    </row>
    <row r="33" spans="1:5" x14ac:dyDescent="0.25">
      <c r="A33" s="4" t="s">
        <v>89</v>
      </c>
      <c r="B33" s="6">
        <v>-30</v>
      </c>
      <c r="C33" s="6">
        <v>-17.5</v>
      </c>
      <c r="D33" s="6">
        <f>D32+6</f>
        <v>9.75</v>
      </c>
    </row>
    <row r="34" spans="1:5" x14ac:dyDescent="0.25">
      <c r="A34" s="6" t="s">
        <v>52</v>
      </c>
      <c r="B34" s="6">
        <v>-35</v>
      </c>
      <c r="C34" s="6">
        <v>-60</v>
      </c>
      <c r="D34" s="6">
        <v>3.75</v>
      </c>
    </row>
    <row r="35" spans="1:5" x14ac:dyDescent="0.25">
      <c r="A35" s="6" t="s">
        <v>63</v>
      </c>
      <c r="B35" s="6">
        <v>-35</v>
      </c>
      <c r="C35" s="6">
        <v>-60</v>
      </c>
      <c r="D35" s="6">
        <f>D34+6</f>
        <v>9.75</v>
      </c>
    </row>
    <row r="36" spans="1:5" x14ac:dyDescent="0.25">
      <c r="A36" s="4" t="s">
        <v>83</v>
      </c>
      <c r="B36" s="6">
        <f>AVERAGE(B14,B20,B26)</f>
        <v>-5</v>
      </c>
      <c r="C36" s="6">
        <f>AVERAGE(C14,C20,C26)</f>
        <v>-29</v>
      </c>
      <c r="D36" s="6">
        <f>AVERAGE(D14,D20,D26)</f>
        <v>3</v>
      </c>
      <c r="E36" s="7" t="s">
        <v>82</v>
      </c>
    </row>
    <row r="37" spans="1:5" x14ac:dyDescent="0.25">
      <c r="A37" s="4" t="s">
        <v>84</v>
      </c>
      <c r="B37" s="6">
        <f t="shared" ref="B37:C41" si="4">AVERAGE(B15,B21,B27)</f>
        <v>-5</v>
      </c>
      <c r="C37" s="6">
        <f t="shared" si="4"/>
        <v>-29</v>
      </c>
      <c r="D37" s="6">
        <f t="shared" ref="D37:D41" si="5">AVERAGE(D15,D21,D27)</f>
        <v>9</v>
      </c>
      <c r="E37" s="7" t="s">
        <v>82</v>
      </c>
    </row>
    <row r="38" spans="1:5" x14ac:dyDescent="0.25">
      <c r="A38" s="4" t="s">
        <v>85</v>
      </c>
      <c r="B38" s="8">
        <f t="shared" si="4"/>
        <v>-9.6333333333333329</v>
      </c>
      <c r="C38" s="8">
        <f t="shared" si="4"/>
        <v>-36</v>
      </c>
      <c r="D38" s="6">
        <f t="shared" si="5"/>
        <v>3</v>
      </c>
      <c r="E38" s="7" t="s">
        <v>82</v>
      </c>
    </row>
    <row r="39" spans="1:5" x14ac:dyDescent="0.25">
      <c r="A39" s="4" t="s">
        <v>86</v>
      </c>
      <c r="B39" s="8">
        <f t="shared" si="4"/>
        <v>-9.6333333333333329</v>
      </c>
      <c r="C39" s="8">
        <f t="shared" si="4"/>
        <v>-36</v>
      </c>
      <c r="D39" s="6">
        <f t="shared" si="5"/>
        <v>9</v>
      </c>
      <c r="E39" s="7" t="s">
        <v>82</v>
      </c>
    </row>
    <row r="40" spans="1:5" x14ac:dyDescent="0.25">
      <c r="A40" s="4" t="s">
        <v>87</v>
      </c>
      <c r="B40" s="8">
        <f t="shared" si="4"/>
        <v>0.46666666666666679</v>
      </c>
      <c r="C40" s="8">
        <f t="shared" si="4"/>
        <v>-36</v>
      </c>
      <c r="D40" s="6">
        <f t="shared" si="5"/>
        <v>3</v>
      </c>
      <c r="E40" s="7" t="s">
        <v>82</v>
      </c>
    </row>
    <row r="41" spans="1:5" x14ac:dyDescent="0.25">
      <c r="A41" s="4" t="s">
        <v>88</v>
      </c>
      <c r="B41" s="8">
        <f t="shared" si="4"/>
        <v>0.46666666666666679</v>
      </c>
      <c r="C41" s="8">
        <f t="shared" si="4"/>
        <v>-36</v>
      </c>
      <c r="D41" s="6">
        <f t="shared" si="5"/>
        <v>9</v>
      </c>
      <c r="E41" s="7" t="s">
        <v>82</v>
      </c>
    </row>
    <row r="42" spans="1:5" x14ac:dyDescent="0.25">
      <c r="A42" s="6"/>
      <c r="B42" s="6"/>
      <c r="C42" s="6"/>
      <c r="D42" s="6"/>
    </row>
    <row r="43" spans="1:5" x14ac:dyDescent="0.25">
      <c r="A43" s="6"/>
      <c r="B43" s="6"/>
      <c r="C43" s="6"/>
      <c r="D43" s="6"/>
    </row>
    <row r="44" spans="1:5" x14ac:dyDescent="0.25">
      <c r="A44" s="6"/>
      <c r="B44" s="6"/>
      <c r="C44" s="6"/>
      <c r="D44" s="6"/>
    </row>
    <row r="45" spans="1:5" x14ac:dyDescent="0.25">
      <c r="A45" s="6"/>
      <c r="B45" s="6"/>
      <c r="C45" s="6"/>
      <c r="D45" s="6"/>
    </row>
    <row r="46" spans="1:5" x14ac:dyDescent="0.25">
      <c r="A46" s="6"/>
      <c r="B46" s="6"/>
      <c r="C46" s="6"/>
      <c r="D46" s="6"/>
    </row>
    <row r="47" spans="1:5" x14ac:dyDescent="0.25">
      <c r="A47" s="6"/>
      <c r="B47" s="6"/>
      <c r="C47" s="6"/>
      <c r="D47" s="6"/>
    </row>
    <row r="48" spans="1:5" x14ac:dyDescent="0.25">
      <c r="A48" s="6"/>
      <c r="B48" s="6"/>
      <c r="C48" s="6"/>
      <c r="D48" s="6"/>
    </row>
    <row r="49" spans="1:4" x14ac:dyDescent="0.25">
      <c r="A49" s="6"/>
      <c r="B49" s="6"/>
      <c r="C49" s="6"/>
      <c r="D49" s="6"/>
    </row>
    <row r="50" spans="1:4" x14ac:dyDescent="0.25">
      <c r="A50" s="6"/>
      <c r="B50" s="6"/>
      <c r="C50" s="6"/>
      <c r="D50" s="6"/>
    </row>
    <row r="51" spans="1:4" x14ac:dyDescent="0.25">
      <c r="A51" s="6"/>
      <c r="B51" s="6"/>
      <c r="C51" s="6"/>
      <c r="D51" s="6"/>
    </row>
    <row r="52" spans="1:4" x14ac:dyDescent="0.25">
      <c r="A52" s="6"/>
      <c r="B52" s="6"/>
      <c r="C52" s="6"/>
      <c r="D52" s="6"/>
    </row>
    <row r="53" spans="1:4" x14ac:dyDescent="0.25">
      <c r="A53" s="6"/>
      <c r="B53" s="6"/>
      <c r="C53" s="6"/>
      <c r="D53" s="6"/>
    </row>
    <row r="54" spans="1:4" x14ac:dyDescent="0.25">
      <c r="A54" s="6"/>
      <c r="B54" s="6"/>
      <c r="C54" s="6"/>
      <c r="D54" s="6"/>
    </row>
    <row r="55" spans="1:4" x14ac:dyDescent="0.25">
      <c r="A55" s="6"/>
      <c r="B55" s="6"/>
      <c r="C55" s="6"/>
      <c r="D55" s="6"/>
    </row>
    <row r="56" spans="1:4" x14ac:dyDescent="0.25">
      <c r="A56" s="6"/>
      <c r="B56" s="6"/>
      <c r="C56" s="6"/>
      <c r="D56" s="6"/>
    </row>
    <row r="57" spans="1:4" x14ac:dyDescent="0.25">
      <c r="A57" s="6"/>
      <c r="B57" s="6"/>
      <c r="C57" s="6"/>
      <c r="D57" s="6"/>
    </row>
    <row r="58" spans="1:4" x14ac:dyDescent="0.25">
      <c r="A58" s="6"/>
      <c r="B58" s="6"/>
      <c r="C58" s="6"/>
      <c r="D58" s="6"/>
    </row>
    <row r="59" spans="1:4" x14ac:dyDescent="0.25">
      <c r="A59" s="6"/>
      <c r="B59" s="6"/>
      <c r="C59" s="6"/>
      <c r="D59" s="6"/>
    </row>
    <row r="60" spans="1:4" x14ac:dyDescent="0.25">
      <c r="A60" s="6"/>
      <c r="B60" s="6"/>
      <c r="C60" s="6"/>
      <c r="D60" s="6"/>
    </row>
    <row r="61" spans="1:4" x14ac:dyDescent="0.25">
      <c r="A61" s="6"/>
      <c r="B61" s="6"/>
      <c r="C61" s="6"/>
      <c r="D61" s="6"/>
    </row>
    <row r="62" spans="1:4" x14ac:dyDescent="0.25">
      <c r="A62" s="6"/>
      <c r="B62" s="6"/>
      <c r="C62" s="6"/>
      <c r="D62" s="6"/>
    </row>
    <row r="63" spans="1:4" x14ac:dyDescent="0.25">
      <c r="A63" s="6"/>
      <c r="B63" s="6"/>
      <c r="C63" s="6"/>
      <c r="D63" s="6"/>
    </row>
    <row r="64" spans="1:4" x14ac:dyDescent="0.25">
      <c r="A64" s="6"/>
      <c r="B64" s="6"/>
      <c r="C64" s="6"/>
      <c r="D64" s="6"/>
    </row>
    <row r="65" spans="1:4" x14ac:dyDescent="0.25">
      <c r="A65" s="6"/>
      <c r="B65" s="6"/>
      <c r="C65" s="6"/>
      <c r="D65" s="6"/>
    </row>
    <row r="66" spans="1:4" x14ac:dyDescent="0.25">
      <c r="A66" s="6"/>
      <c r="B66" s="6"/>
      <c r="C66" s="6"/>
      <c r="D66" s="6"/>
    </row>
    <row r="67" spans="1:4" x14ac:dyDescent="0.25">
      <c r="A67" s="6"/>
      <c r="B67" s="6"/>
      <c r="C67" s="6"/>
      <c r="D67" s="6"/>
    </row>
    <row r="68" spans="1:4" x14ac:dyDescent="0.25">
      <c r="A68" s="6"/>
      <c r="B68" s="6"/>
      <c r="C68" s="6"/>
      <c r="D68" s="6"/>
    </row>
    <row r="69" spans="1:4" x14ac:dyDescent="0.25">
      <c r="A69" s="6"/>
      <c r="B69" s="6"/>
      <c r="C69" s="6"/>
      <c r="D69" s="6"/>
    </row>
    <row r="70" spans="1:4" x14ac:dyDescent="0.25">
      <c r="A70" s="6"/>
      <c r="B70" s="6"/>
      <c r="C70" s="6"/>
      <c r="D70" s="6"/>
    </row>
    <row r="71" spans="1:4" x14ac:dyDescent="0.25">
      <c r="A71" s="6"/>
      <c r="B71" s="6"/>
      <c r="C71" s="6"/>
      <c r="D71" s="6"/>
    </row>
    <row r="72" spans="1:4" x14ac:dyDescent="0.25">
      <c r="A72" s="6"/>
      <c r="B72" s="6"/>
      <c r="C72" s="6"/>
      <c r="D72" s="6"/>
    </row>
    <row r="73" spans="1:4" x14ac:dyDescent="0.25">
      <c r="A73" s="6"/>
      <c r="B73" s="6"/>
      <c r="C73" s="6"/>
      <c r="D73" s="6"/>
    </row>
    <row r="74" spans="1:4" x14ac:dyDescent="0.25">
      <c r="A74" s="6"/>
      <c r="B74" s="6"/>
      <c r="C74" s="6"/>
      <c r="D74" s="6"/>
    </row>
    <row r="75" spans="1:4" x14ac:dyDescent="0.25">
      <c r="A75" s="6"/>
      <c r="B75" s="6"/>
      <c r="C75" s="6"/>
      <c r="D75" s="6"/>
    </row>
    <row r="76" spans="1:4" x14ac:dyDescent="0.25">
      <c r="A76" s="6"/>
      <c r="B76" s="6"/>
      <c r="C76" s="6"/>
      <c r="D76" s="6"/>
    </row>
    <row r="77" spans="1:4" x14ac:dyDescent="0.25">
      <c r="A77" s="6"/>
      <c r="B77" s="6"/>
      <c r="C77" s="6"/>
      <c r="D77" s="6"/>
    </row>
    <row r="78" spans="1:4" x14ac:dyDescent="0.25">
      <c r="A78" s="6"/>
      <c r="B78" s="6"/>
      <c r="C78" s="6"/>
      <c r="D78" s="6"/>
    </row>
    <row r="79" spans="1:4" x14ac:dyDescent="0.25">
      <c r="A79" s="6"/>
      <c r="B79" s="6"/>
      <c r="C79" s="6"/>
      <c r="D79" s="6"/>
    </row>
    <row r="80" spans="1:4" x14ac:dyDescent="0.25">
      <c r="A80" s="6"/>
      <c r="B80" s="6"/>
      <c r="C80" s="6"/>
      <c r="D80" s="6"/>
    </row>
    <row r="81" spans="1:4" x14ac:dyDescent="0.25">
      <c r="A81" s="6"/>
      <c r="B81" s="6"/>
      <c r="C81" s="6"/>
      <c r="D81" s="6"/>
    </row>
    <row r="82" spans="1:4" x14ac:dyDescent="0.25">
      <c r="A82" s="6"/>
      <c r="B82" s="6"/>
      <c r="C82" s="6"/>
      <c r="D82" s="6"/>
    </row>
    <row r="83" spans="1:4" x14ac:dyDescent="0.25">
      <c r="A83" s="6"/>
      <c r="B83" s="6"/>
      <c r="C83" s="6"/>
      <c r="D83" s="6"/>
    </row>
    <row r="84" spans="1:4" x14ac:dyDescent="0.25">
      <c r="A84" s="6"/>
      <c r="B84" s="6"/>
      <c r="C84" s="6"/>
      <c r="D84" s="6"/>
    </row>
    <row r="85" spans="1:4" x14ac:dyDescent="0.25">
      <c r="A85" s="6"/>
      <c r="B85" s="6"/>
      <c r="C85" s="6"/>
      <c r="D85" s="6"/>
    </row>
    <row r="86" spans="1:4" x14ac:dyDescent="0.25">
      <c r="A86" s="6"/>
      <c r="B86" s="6"/>
      <c r="C86" s="6"/>
      <c r="D86" s="6"/>
    </row>
    <row r="87" spans="1:4" x14ac:dyDescent="0.25">
      <c r="A87" s="6"/>
      <c r="B87" s="6"/>
      <c r="C87" s="6"/>
      <c r="D87" s="6"/>
    </row>
    <row r="88" spans="1:4" x14ac:dyDescent="0.25">
      <c r="A88" s="6"/>
      <c r="B88" s="6"/>
      <c r="C88" s="6"/>
      <c r="D88" s="6"/>
    </row>
    <row r="89" spans="1:4" x14ac:dyDescent="0.25">
      <c r="A89" s="6"/>
      <c r="B89" s="6"/>
      <c r="C89" s="6"/>
      <c r="D89" s="6"/>
    </row>
    <row r="90" spans="1:4" x14ac:dyDescent="0.25">
      <c r="A90" s="6"/>
      <c r="B90" s="6"/>
      <c r="C90" s="6"/>
      <c r="D90" s="6"/>
    </row>
    <row r="91" spans="1:4" x14ac:dyDescent="0.25">
      <c r="A91" s="6"/>
      <c r="B91" s="6"/>
      <c r="C91" s="6"/>
      <c r="D91" s="6"/>
    </row>
    <row r="92" spans="1:4" x14ac:dyDescent="0.25">
      <c r="A92" s="6"/>
      <c r="B92" s="6"/>
      <c r="C92" s="6"/>
      <c r="D92" s="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762A-FD85-40DF-B747-46BAFBE088DE}">
  <dimension ref="A1:J30"/>
  <sheetViews>
    <sheetView tabSelected="1" workbookViewId="0">
      <selection activeCell="H17" sqref="H17"/>
    </sheetView>
  </sheetViews>
  <sheetFormatPr defaultRowHeight="15.75" x14ac:dyDescent="0.25"/>
  <cols>
    <col min="1" max="1" width="29.7109375" customWidth="1"/>
    <col min="2" max="2" width="19.42578125" customWidth="1"/>
    <col min="3" max="3" width="20" customWidth="1"/>
    <col min="4" max="4" width="16.42578125" customWidth="1"/>
    <col min="5" max="5" width="38.5703125" customWidth="1"/>
    <col min="8" max="8" width="9.5703125" customWidth="1"/>
    <col min="10" max="10" width="18.28515625" customWidth="1"/>
  </cols>
  <sheetData>
    <row r="1" spans="1:5" ht="16.5" x14ac:dyDescent="0.25">
      <c r="A1" s="2" t="s">
        <v>26</v>
      </c>
      <c r="B1" s="2" t="s">
        <v>27</v>
      </c>
      <c r="C1" s="2" t="s">
        <v>28</v>
      </c>
      <c r="D1" s="2" t="s">
        <v>29</v>
      </c>
    </row>
    <row r="2" spans="1:5" ht="16.5" x14ac:dyDescent="0.25">
      <c r="A2" s="4" t="s">
        <v>32</v>
      </c>
      <c r="B2" s="6">
        <v>0</v>
      </c>
      <c r="C2" s="6">
        <v>-30</v>
      </c>
      <c r="D2" s="6">
        <v>17</v>
      </c>
      <c r="E2" s="10" t="s">
        <v>96</v>
      </c>
    </row>
    <row r="3" spans="1:5" ht="16.5" x14ac:dyDescent="0.25">
      <c r="A3" s="6" t="s">
        <v>33</v>
      </c>
      <c r="B3" s="6">
        <v>32.5</v>
      </c>
      <c r="C3" s="6">
        <v>-2.5</v>
      </c>
      <c r="D3" s="6">
        <v>1.8</v>
      </c>
      <c r="E3" s="10"/>
    </row>
    <row r="4" spans="1:5" ht="16.5" x14ac:dyDescent="0.25">
      <c r="A4" s="6" t="s">
        <v>34</v>
      </c>
      <c r="B4" s="6">
        <v>32.5</v>
      </c>
      <c r="C4" s="6">
        <v>-2.5</v>
      </c>
      <c r="D4" s="6">
        <v>17</v>
      </c>
      <c r="E4" s="10"/>
    </row>
    <row r="5" spans="1:5" x14ac:dyDescent="0.25">
      <c r="A5" s="6" t="s">
        <v>35</v>
      </c>
      <c r="B5" s="6">
        <v>15</v>
      </c>
      <c r="C5" s="6">
        <v>-17.5</v>
      </c>
      <c r="D5" s="6">
        <f>D3</f>
        <v>1.8</v>
      </c>
    </row>
    <row r="6" spans="1:5" x14ac:dyDescent="0.25">
      <c r="A6" s="6" t="s">
        <v>36</v>
      </c>
      <c r="B6" s="6">
        <v>15</v>
      </c>
      <c r="C6" s="6">
        <v>-17.5</v>
      </c>
      <c r="D6" s="6">
        <f>D4</f>
        <v>17</v>
      </c>
    </row>
    <row r="7" spans="1:5" x14ac:dyDescent="0.25">
      <c r="A7" s="6" t="s">
        <v>38</v>
      </c>
      <c r="B7" s="6">
        <v>32.5</v>
      </c>
      <c r="C7" s="6">
        <v>-17.5</v>
      </c>
      <c r="D7" s="6">
        <f>D5</f>
        <v>1.8</v>
      </c>
    </row>
    <row r="8" spans="1:5" x14ac:dyDescent="0.25">
      <c r="A8" s="6" t="s">
        <v>39</v>
      </c>
      <c r="B8" s="6">
        <v>32.5</v>
      </c>
      <c r="C8" s="6">
        <v>-17.5</v>
      </c>
      <c r="D8" s="6">
        <f>D6</f>
        <v>17</v>
      </c>
    </row>
    <row r="9" spans="1:5" x14ac:dyDescent="0.25">
      <c r="A9" s="6" t="s">
        <v>40</v>
      </c>
      <c r="B9" s="6">
        <v>32.5</v>
      </c>
      <c r="C9" s="6">
        <v>-32.5</v>
      </c>
      <c r="D9" s="6">
        <f>D7</f>
        <v>1.8</v>
      </c>
    </row>
    <row r="10" spans="1:5" x14ac:dyDescent="0.25">
      <c r="A10" s="6" t="s">
        <v>41</v>
      </c>
      <c r="B10" s="6">
        <v>32.5</v>
      </c>
      <c r="C10" s="6">
        <v>-32.5</v>
      </c>
      <c r="D10" s="6">
        <f>D6</f>
        <v>17</v>
      </c>
    </row>
    <row r="11" spans="1:5" ht="16.5" x14ac:dyDescent="0.25">
      <c r="A11" s="6" t="s">
        <v>42</v>
      </c>
      <c r="B11" s="6">
        <v>-5</v>
      </c>
      <c r="C11" s="6">
        <v>-32.5</v>
      </c>
      <c r="D11" s="6"/>
      <c r="E11" s="9" t="s">
        <v>94</v>
      </c>
    </row>
    <row r="12" spans="1:5" ht="16.5" x14ac:dyDescent="0.25">
      <c r="A12" s="6" t="s">
        <v>53</v>
      </c>
      <c r="B12" s="6">
        <v>-5</v>
      </c>
      <c r="C12" s="6">
        <v>-32.5</v>
      </c>
      <c r="D12" s="6"/>
      <c r="E12" s="9" t="s">
        <v>94</v>
      </c>
    </row>
    <row r="13" spans="1:5" x14ac:dyDescent="0.25">
      <c r="A13" s="4" t="s">
        <v>64</v>
      </c>
      <c r="B13" s="6">
        <f>B11+10-10</f>
        <v>-5</v>
      </c>
      <c r="C13" s="6">
        <f>C11+7.5-4</f>
        <v>-29</v>
      </c>
      <c r="D13" s="6">
        <v>2.8</v>
      </c>
      <c r="E13" s="7" t="s">
        <v>44</v>
      </c>
    </row>
    <row r="14" spans="1:5" x14ac:dyDescent="0.25">
      <c r="A14" s="4" t="s">
        <v>65</v>
      </c>
      <c r="B14" s="6">
        <f>B12+10-10</f>
        <v>-5</v>
      </c>
      <c r="C14" s="6">
        <f>C12+7.5-4</f>
        <v>-29</v>
      </c>
      <c r="D14" s="6">
        <f>D2</f>
        <v>17</v>
      </c>
      <c r="E14" s="7" t="s">
        <v>54</v>
      </c>
    </row>
    <row r="15" spans="1:5" x14ac:dyDescent="0.25">
      <c r="A15" s="4" t="s">
        <v>66</v>
      </c>
      <c r="B15" s="6">
        <f>B11-10+6.5</f>
        <v>-8.5</v>
      </c>
      <c r="C15" s="6">
        <f>C11-7.5+4</f>
        <v>-36</v>
      </c>
      <c r="D15" s="6">
        <f>D13</f>
        <v>2.8</v>
      </c>
      <c r="E15" s="7" t="s">
        <v>43</v>
      </c>
    </row>
    <row r="16" spans="1:5" x14ac:dyDescent="0.25">
      <c r="A16" s="4" t="s">
        <v>67</v>
      </c>
      <c r="B16" s="6">
        <f>B12-10+6.5</f>
        <v>-8.5</v>
      </c>
      <c r="C16" s="6">
        <f>C12-7.5+4</f>
        <v>-36</v>
      </c>
      <c r="D16" s="6">
        <f>D14</f>
        <v>17</v>
      </c>
      <c r="E16" s="7" t="s">
        <v>55</v>
      </c>
    </row>
    <row r="17" spans="1:10" ht="16.5" x14ac:dyDescent="0.25">
      <c r="A17" s="4" t="s">
        <v>68</v>
      </c>
      <c r="B17" s="6">
        <f>B15+9.5</f>
        <v>1</v>
      </c>
      <c r="C17" s="6">
        <f>C15</f>
        <v>-36</v>
      </c>
      <c r="D17" s="6">
        <f t="shared" ref="D17:D30" si="0">D15</f>
        <v>2.8</v>
      </c>
      <c r="E17" s="7" t="s">
        <v>45</v>
      </c>
      <c r="I17" s="12"/>
      <c r="J17" s="12"/>
    </row>
    <row r="18" spans="1:10" ht="16.5" x14ac:dyDescent="0.25">
      <c r="A18" s="4" t="s">
        <v>69</v>
      </c>
      <c r="B18" s="6">
        <f>B16+9.5</f>
        <v>1</v>
      </c>
      <c r="C18" s="6">
        <f>C16</f>
        <v>-36</v>
      </c>
      <c r="D18" s="6">
        <f t="shared" si="0"/>
        <v>17</v>
      </c>
      <c r="E18" s="7" t="s">
        <v>56</v>
      </c>
      <c r="I18" s="12"/>
      <c r="J18" s="12"/>
    </row>
    <row r="19" spans="1:10" ht="16.5" x14ac:dyDescent="0.25">
      <c r="A19" s="4" t="s">
        <v>70</v>
      </c>
      <c r="B19" s="6">
        <f>B13</f>
        <v>-5</v>
      </c>
      <c r="C19" s="6">
        <f>C13</f>
        <v>-29</v>
      </c>
      <c r="D19" s="6">
        <f t="shared" si="0"/>
        <v>2.8</v>
      </c>
      <c r="E19" s="7" t="s">
        <v>46</v>
      </c>
      <c r="I19" s="12"/>
      <c r="J19" s="12"/>
    </row>
    <row r="20" spans="1:10" ht="16.5" x14ac:dyDescent="0.25">
      <c r="A20" s="4" t="s">
        <v>71</v>
      </c>
      <c r="B20" s="6">
        <f>B14</f>
        <v>-5</v>
      </c>
      <c r="C20" s="6">
        <f>C14</f>
        <v>-29</v>
      </c>
      <c r="D20" s="6">
        <f t="shared" si="0"/>
        <v>17</v>
      </c>
      <c r="E20" s="7" t="s">
        <v>57</v>
      </c>
      <c r="I20" s="12"/>
      <c r="J20" s="12"/>
    </row>
    <row r="21" spans="1:10" ht="16.5" x14ac:dyDescent="0.25">
      <c r="A21" s="4" t="s">
        <v>72</v>
      </c>
      <c r="B21" s="6">
        <f>-15+4.8</f>
        <v>-10.199999999999999</v>
      </c>
      <c r="C21" s="6">
        <f>C15</f>
        <v>-36</v>
      </c>
      <c r="D21" s="6">
        <f t="shared" si="0"/>
        <v>2.8</v>
      </c>
      <c r="E21" s="7" t="s">
        <v>47</v>
      </c>
      <c r="I21" s="12"/>
      <c r="J21" s="12"/>
    </row>
    <row r="22" spans="1:10" ht="16.5" x14ac:dyDescent="0.25">
      <c r="A22" s="4" t="s">
        <v>73</v>
      </c>
      <c r="B22" s="6">
        <f>-15+4.8</f>
        <v>-10.199999999999999</v>
      </c>
      <c r="C22" s="6">
        <f t="shared" ref="C22:C24" si="1">C16</f>
        <v>-36</v>
      </c>
      <c r="D22" s="6">
        <f t="shared" si="0"/>
        <v>17</v>
      </c>
      <c r="E22" s="7" t="s">
        <v>58</v>
      </c>
      <c r="I22" s="12"/>
      <c r="J22" s="12"/>
    </row>
    <row r="23" spans="1:10" ht="16.5" x14ac:dyDescent="0.25">
      <c r="A23" s="4" t="s">
        <v>81</v>
      </c>
      <c r="B23" s="6">
        <f>5-4.8</f>
        <v>0.20000000000000018</v>
      </c>
      <c r="C23" s="6">
        <f t="shared" si="1"/>
        <v>-36</v>
      </c>
      <c r="D23" s="6">
        <f t="shared" si="0"/>
        <v>2.8</v>
      </c>
      <c r="E23" s="7" t="s">
        <v>48</v>
      </c>
      <c r="I23" s="12"/>
      <c r="J23" s="12"/>
    </row>
    <row r="24" spans="1:10" x14ac:dyDescent="0.25">
      <c r="A24" s="4" t="s">
        <v>80</v>
      </c>
      <c r="B24" s="6">
        <f>5-4.8</f>
        <v>0.20000000000000018</v>
      </c>
      <c r="C24" s="6">
        <f t="shared" si="1"/>
        <v>-36</v>
      </c>
      <c r="D24" s="6">
        <f t="shared" si="0"/>
        <v>17</v>
      </c>
      <c r="E24" s="7" t="s">
        <v>59</v>
      </c>
    </row>
    <row r="25" spans="1:10" x14ac:dyDescent="0.25">
      <c r="A25" s="4" t="s">
        <v>79</v>
      </c>
      <c r="B25" s="6">
        <f>B19</f>
        <v>-5</v>
      </c>
      <c r="C25" s="6">
        <f>C19</f>
        <v>-29</v>
      </c>
      <c r="D25" s="6">
        <f t="shared" si="0"/>
        <v>2.8</v>
      </c>
      <c r="E25" s="7" t="s">
        <v>49</v>
      </c>
    </row>
    <row r="26" spans="1:10" x14ac:dyDescent="0.25">
      <c r="A26" s="4" t="s">
        <v>78</v>
      </c>
      <c r="B26" s="6">
        <f>B20</f>
        <v>-5</v>
      </c>
      <c r="C26" s="6">
        <f t="shared" ref="C26:C30" si="2">C20</f>
        <v>-29</v>
      </c>
      <c r="D26" s="6">
        <f t="shared" si="0"/>
        <v>17</v>
      </c>
      <c r="E26" s="7" t="s">
        <v>60</v>
      </c>
    </row>
    <row r="27" spans="1:10" x14ac:dyDescent="0.25">
      <c r="A27" s="4" t="s">
        <v>77</v>
      </c>
      <c r="B27" s="6">
        <f>B21</f>
        <v>-10.199999999999999</v>
      </c>
      <c r="C27" s="6">
        <f t="shared" si="2"/>
        <v>-36</v>
      </c>
      <c r="D27" s="6">
        <f t="shared" si="0"/>
        <v>2.8</v>
      </c>
      <c r="E27" s="7" t="s">
        <v>50</v>
      </c>
    </row>
    <row r="28" spans="1:10" x14ac:dyDescent="0.25">
      <c r="A28" s="4" t="s">
        <v>76</v>
      </c>
      <c r="B28" s="6">
        <f t="shared" ref="B28:B30" si="3">B22</f>
        <v>-10.199999999999999</v>
      </c>
      <c r="C28" s="6">
        <f t="shared" si="2"/>
        <v>-36</v>
      </c>
      <c r="D28" s="6">
        <f t="shared" si="0"/>
        <v>17</v>
      </c>
      <c r="E28" s="7" t="s">
        <v>61</v>
      </c>
    </row>
    <row r="29" spans="1:10" x14ac:dyDescent="0.25">
      <c r="A29" s="4" t="s">
        <v>75</v>
      </c>
      <c r="B29" s="6">
        <f t="shared" si="3"/>
        <v>0.20000000000000018</v>
      </c>
      <c r="C29" s="6">
        <f t="shared" si="2"/>
        <v>-36</v>
      </c>
      <c r="D29" s="6">
        <f t="shared" si="0"/>
        <v>2.8</v>
      </c>
      <c r="E29" s="7" t="s">
        <v>51</v>
      </c>
    </row>
    <row r="30" spans="1:10" x14ac:dyDescent="0.25">
      <c r="A30" s="4" t="s">
        <v>74</v>
      </c>
      <c r="B30" s="6">
        <f t="shared" si="3"/>
        <v>0.20000000000000018</v>
      </c>
      <c r="C30" s="6">
        <f t="shared" si="2"/>
        <v>-36</v>
      </c>
      <c r="D30" s="6">
        <f t="shared" si="0"/>
        <v>17</v>
      </c>
      <c r="E30" s="7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動素拆解</vt:lpstr>
      <vt:lpstr>位置點座標(human)</vt:lpstr>
      <vt:lpstr>位置點座標(robot)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YiXuan Pan</dc:creator>
  <cp:lastModifiedBy>楊佳蓁</cp:lastModifiedBy>
  <dcterms:created xsi:type="dcterms:W3CDTF">2015-06-05T18:19:34Z</dcterms:created>
  <dcterms:modified xsi:type="dcterms:W3CDTF">2026-06-15T11:18:04Z</dcterms:modified>
</cp:coreProperties>
</file>