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2466\Desktop\task_monitor\batch_nores_outputs_real\"/>
    </mc:Choice>
  </mc:AlternateContent>
  <xr:revisionPtr revIDLastSave="0" documentId="13_ncr:1_{51C9C11E-E2B6-481A-ADCE-105E4C1D7D29}" xr6:coauthVersionLast="47" xr6:coauthVersionMax="47" xr10:uidLastSave="{00000000-0000-0000-0000-000000000000}"/>
  <bookViews>
    <workbookView xWindow="-60" yWindow="1605" windowWidth="28455" windowHeight="13575" tabRatio="753" activeTab="4" xr2:uid="{CFFB7703-17AB-4306-94F9-9301B7BC81A2}"/>
  </bookViews>
  <sheets>
    <sheet name="idle_time_ratio_summary" sheetId="12" r:id="rId1"/>
    <sheet name="batch_final_timeline_by_case" sheetId="7" r:id="rId2"/>
    <sheet name="batch_event_summary" sheetId="1" r:id="rId3"/>
    <sheet name="group_data" sheetId="6" r:id="rId4"/>
    <sheet name="失效次數分析" sheetId="10" r:id="rId5"/>
    <sheet name="失效任務個數分析" sheetId="11" r:id="rId6"/>
  </sheets>
  <definedNames>
    <definedName name="_xlchart.v1.0" hidden="1">idle_time_ratio_summary!$L$2:$L$77</definedName>
    <definedName name="_xlchart.v1.1" hidden="1">batch_final_timeline_by_case!$F$7:$F$77</definedName>
    <definedName name="_xlcn.WorksheetConnection_batch_event_summaryA1W5011" hidden="1">batch_event_summary!$A$1:$W$501</definedName>
    <definedName name="外部資料_1" localSheetId="1" hidden="1">batch_final_timeline_by_case!$A$1:$M$77</definedName>
    <definedName name="外部資料_2" localSheetId="0" hidden="1">idle_time_ratio_summary!$A$1:$M$78</definedName>
  </definedNames>
  <calcPr calcId="191029"/>
  <pivotCaches>
    <pivotCache cacheId="0" r:id="rId7"/>
    <pivotCache cacheId="4" r:id="rId8"/>
  </pivotCaches>
  <extLst>
    <ext xmlns:x15="http://schemas.microsoft.com/office/spreadsheetml/2010/11/main" uri="{FCE2AD5D-F65C-4FA6-A056-5C36A1767C68}">
      <x15:dataModel>
        <x15:modelTables>
          <x15:modelTable id="範圍" name="範圍" connection="WorksheetConnection_batch_event_summary!$A$1:$W$5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9" i="12" l="1"/>
  <c r="S2" i="12"/>
  <c r="S9" i="12"/>
  <c r="S10" i="12"/>
  <c r="S11" i="12"/>
  <c r="S12" i="12"/>
  <c r="S13" i="12"/>
  <c r="S21" i="12"/>
  <c r="S22" i="12"/>
  <c r="S23" i="12"/>
  <c r="S24" i="12"/>
  <c r="S25" i="12"/>
  <c r="S33" i="12"/>
  <c r="S34" i="12"/>
  <c r="S35" i="12"/>
  <c r="S36" i="12"/>
  <c r="S37" i="12"/>
  <c r="S45" i="12"/>
  <c r="S46" i="12"/>
  <c r="S47" i="12"/>
  <c r="S48" i="12"/>
  <c r="S49" i="12"/>
  <c r="S57" i="12"/>
  <c r="S58" i="12"/>
  <c r="S59" i="12"/>
  <c r="S60" i="12"/>
  <c r="S61" i="12"/>
  <c r="S69" i="12"/>
  <c r="S70" i="12"/>
  <c r="S71" i="12"/>
  <c r="S72" i="12"/>
  <c r="S73" i="12"/>
  <c r="R2" i="12"/>
  <c r="R3" i="12"/>
  <c r="S3" i="12" s="1"/>
  <c r="R4" i="12"/>
  <c r="S4" i="12" s="1"/>
  <c r="R5" i="12"/>
  <c r="S5" i="12" s="1"/>
  <c r="R6" i="12"/>
  <c r="S6" i="12" s="1"/>
  <c r="R7" i="12"/>
  <c r="S7" i="12" s="1"/>
  <c r="R8" i="12"/>
  <c r="S8" i="12" s="1"/>
  <c r="R9" i="12"/>
  <c r="R10" i="12"/>
  <c r="R11" i="12"/>
  <c r="R12" i="12"/>
  <c r="R13" i="12"/>
  <c r="R14" i="12"/>
  <c r="S14" i="12" s="1"/>
  <c r="R15" i="12"/>
  <c r="S15" i="12" s="1"/>
  <c r="R16" i="12"/>
  <c r="S16" i="12" s="1"/>
  <c r="R17" i="12"/>
  <c r="S17" i="12" s="1"/>
  <c r="R18" i="12"/>
  <c r="S18" i="12" s="1"/>
  <c r="R19" i="12"/>
  <c r="S19" i="12" s="1"/>
  <c r="R20" i="12"/>
  <c r="S20" i="12" s="1"/>
  <c r="R21" i="12"/>
  <c r="R22" i="12"/>
  <c r="R23" i="12"/>
  <c r="R24" i="12"/>
  <c r="R25" i="12"/>
  <c r="R26" i="12"/>
  <c r="S26" i="12" s="1"/>
  <c r="R27" i="12"/>
  <c r="S27" i="12" s="1"/>
  <c r="R28" i="12"/>
  <c r="S28" i="12" s="1"/>
  <c r="R29" i="12"/>
  <c r="S29" i="12" s="1"/>
  <c r="R30" i="12"/>
  <c r="S30" i="12" s="1"/>
  <c r="R31" i="12"/>
  <c r="S31" i="12" s="1"/>
  <c r="R32" i="12"/>
  <c r="S32" i="12" s="1"/>
  <c r="R33" i="12"/>
  <c r="R34" i="12"/>
  <c r="R35" i="12"/>
  <c r="R36" i="12"/>
  <c r="R37" i="12"/>
  <c r="R38" i="12"/>
  <c r="S38" i="12" s="1"/>
  <c r="R39" i="12"/>
  <c r="S39" i="12" s="1"/>
  <c r="R40" i="12"/>
  <c r="S40" i="12" s="1"/>
  <c r="R41" i="12"/>
  <c r="S41" i="12" s="1"/>
  <c r="R42" i="12"/>
  <c r="S42" i="12" s="1"/>
  <c r="R43" i="12"/>
  <c r="S43" i="12" s="1"/>
  <c r="R44" i="12"/>
  <c r="S44" i="12" s="1"/>
  <c r="R45" i="12"/>
  <c r="R46" i="12"/>
  <c r="R47" i="12"/>
  <c r="R48" i="12"/>
  <c r="R49" i="12"/>
  <c r="R50" i="12"/>
  <c r="S50" i="12" s="1"/>
  <c r="R51" i="12"/>
  <c r="S51" i="12" s="1"/>
  <c r="R52" i="12"/>
  <c r="S52" i="12" s="1"/>
  <c r="R53" i="12"/>
  <c r="S53" i="12" s="1"/>
  <c r="R54" i="12"/>
  <c r="S54" i="12" s="1"/>
  <c r="R55" i="12"/>
  <c r="S55" i="12" s="1"/>
  <c r="R56" i="12"/>
  <c r="S56" i="12" s="1"/>
  <c r="R57" i="12"/>
  <c r="R58" i="12"/>
  <c r="R59" i="12"/>
  <c r="R60" i="12"/>
  <c r="R61" i="12"/>
  <c r="R62" i="12"/>
  <c r="S62" i="12" s="1"/>
  <c r="R63" i="12"/>
  <c r="S63" i="12" s="1"/>
  <c r="R64" i="12"/>
  <c r="S64" i="12" s="1"/>
  <c r="R65" i="12"/>
  <c r="S65" i="12" s="1"/>
  <c r="R66" i="12"/>
  <c r="S66" i="12" s="1"/>
  <c r="R67" i="12"/>
  <c r="S67" i="12" s="1"/>
  <c r="R68" i="12"/>
  <c r="S68" i="12" s="1"/>
  <c r="R69" i="12"/>
  <c r="R70" i="12"/>
  <c r="R71" i="12"/>
  <c r="R72" i="12"/>
  <c r="R73" i="12"/>
  <c r="R74" i="12"/>
  <c r="S74" i="12" s="1"/>
  <c r="R75" i="12"/>
  <c r="S75" i="12" s="1"/>
  <c r="R76" i="12"/>
  <c r="S76" i="12" s="1"/>
  <c r="R77" i="12"/>
  <c r="S77" i="12" s="1"/>
  <c r="R78" i="12"/>
  <c r="S78" i="12" s="1"/>
  <c r="Q2" i="12"/>
  <c r="Q79" i="12" s="1"/>
  <c r="Q3" i="12"/>
  <c r="Q4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P2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O2" i="12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R79" i="12" l="1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2" i="6"/>
  <c r="O9" i="6"/>
  <c r="O4" i="6"/>
  <c r="M78" i="12"/>
  <c r="G78" i="12"/>
  <c r="N2" i="12"/>
  <c r="N3" i="12"/>
  <c r="O67" i="6" s="1"/>
  <c r="N4" i="12"/>
  <c r="N5" i="12"/>
  <c r="N6" i="12"/>
  <c r="O62" i="6" s="1"/>
  <c r="N7" i="12"/>
  <c r="O59" i="6" s="1"/>
  <c r="N8" i="12"/>
  <c r="N9" i="12"/>
  <c r="N10" i="12"/>
  <c r="O33" i="6" s="1"/>
  <c r="N11" i="12"/>
  <c r="N12" i="12"/>
  <c r="O23" i="6" s="1"/>
  <c r="N13" i="12"/>
  <c r="N14" i="12"/>
  <c r="O71" i="6" s="1"/>
  <c r="N15" i="12"/>
  <c r="N16" i="12"/>
  <c r="N17" i="12"/>
  <c r="N18" i="12"/>
  <c r="N19" i="12"/>
  <c r="N20" i="12"/>
  <c r="N21" i="12"/>
  <c r="N22" i="12"/>
  <c r="O57" i="6" s="1"/>
  <c r="N23" i="12"/>
  <c r="N24" i="12"/>
  <c r="O50" i="6" s="1"/>
  <c r="N25" i="12"/>
  <c r="N26" i="12"/>
  <c r="N27" i="12"/>
  <c r="N28" i="12"/>
  <c r="N29" i="12"/>
  <c r="N30" i="12"/>
  <c r="N31" i="12"/>
  <c r="N32" i="12"/>
  <c r="N33" i="12"/>
  <c r="N34" i="12"/>
  <c r="N35" i="12"/>
  <c r="O38" i="6" s="1"/>
  <c r="N36" i="12"/>
  <c r="N37" i="12"/>
  <c r="N38" i="12"/>
  <c r="N39" i="12"/>
  <c r="N40" i="12"/>
  <c r="N41" i="12"/>
  <c r="N42" i="12"/>
  <c r="N43" i="12"/>
  <c r="O7" i="6" s="1"/>
  <c r="N44" i="12"/>
  <c r="N45" i="12"/>
  <c r="N46" i="12"/>
  <c r="O35" i="6" s="1"/>
  <c r="N47" i="12"/>
  <c r="O11" i="6" s="1"/>
  <c r="N48" i="12"/>
  <c r="O2" i="6" s="1"/>
  <c r="N49" i="12"/>
  <c r="N50" i="12"/>
  <c r="N51" i="12"/>
  <c r="N52" i="12"/>
  <c r="O61" i="6" s="1"/>
  <c r="N53" i="12"/>
  <c r="N54" i="12"/>
  <c r="O64" i="6" s="1"/>
  <c r="N55" i="12"/>
  <c r="N56" i="12"/>
  <c r="N57" i="12"/>
  <c r="N58" i="12"/>
  <c r="O31" i="6" s="1"/>
  <c r="N59" i="12"/>
  <c r="N60" i="12"/>
  <c r="N61" i="12"/>
  <c r="N62" i="12"/>
  <c r="O26" i="6" s="1"/>
  <c r="N63" i="12"/>
  <c r="N64" i="12"/>
  <c r="N65" i="12"/>
  <c r="N66" i="12"/>
  <c r="O14" i="6" s="1"/>
  <c r="N67" i="12"/>
  <c r="N68" i="12"/>
  <c r="N69" i="12"/>
  <c r="N70" i="12"/>
  <c r="N71" i="12"/>
  <c r="O19" i="6" s="1"/>
  <c r="N72" i="12"/>
  <c r="N73" i="12"/>
  <c r="N74" i="12"/>
  <c r="N75" i="12"/>
  <c r="N76" i="12"/>
  <c r="O21" i="6" s="1"/>
  <c r="N77" i="12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2" i="7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2" i="6"/>
  <c r="R72" i="6"/>
  <c r="R71" i="6"/>
  <c r="R70" i="6"/>
  <c r="R69" i="6"/>
  <c r="R68" i="6"/>
  <c r="R67" i="6"/>
  <c r="R66" i="6"/>
  <c r="R65" i="6"/>
  <c r="R64" i="6"/>
  <c r="R63" i="6"/>
  <c r="R62" i="6"/>
  <c r="R61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" i="6"/>
  <c r="R3" i="6"/>
  <c r="R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H3" i="6"/>
  <c r="H4" i="6"/>
  <c r="U4" i="6" s="1"/>
  <c r="H5" i="6"/>
  <c r="H6" i="6"/>
  <c r="U6" i="6" s="1"/>
  <c r="H7" i="6"/>
  <c r="U7" i="6" s="1"/>
  <c r="H8" i="6"/>
  <c r="U8" i="6" s="1"/>
  <c r="H9" i="6"/>
  <c r="H10" i="6"/>
  <c r="U10" i="6" s="1"/>
  <c r="H11" i="6"/>
  <c r="U11" i="6" s="1"/>
  <c r="H12" i="6"/>
  <c r="H13" i="6"/>
  <c r="H14" i="6"/>
  <c r="H15" i="6"/>
  <c r="U15" i="6" s="1"/>
  <c r="H16" i="6"/>
  <c r="U16" i="6" s="1"/>
  <c r="H17" i="6"/>
  <c r="U17" i="6" s="1"/>
  <c r="H18" i="6"/>
  <c r="U18" i="6" s="1"/>
  <c r="H19" i="6"/>
  <c r="H20" i="6"/>
  <c r="H21" i="6"/>
  <c r="U21" i="6" s="1"/>
  <c r="H22" i="6"/>
  <c r="U22" i="6" s="1"/>
  <c r="H23" i="6"/>
  <c r="U23" i="6" s="1"/>
  <c r="H24" i="6"/>
  <c r="H25" i="6"/>
  <c r="H26" i="6"/>
  <c r="H27" i="6"/>
  <c r="H28" i="6"/>
  <c r="H29" i="6"/>
  <c r="U29" i="6" s="1"/>
  <c r="H30" i="6"/>
  <c r="U30" i="6" s="1"/>
  <c r="H31" i="6"/>
  <c r="U31" i="6" s="1"/>
  <c r="H32" i="6"/>
  <c r="H33" i="6"/>
  <c r="H34" i="6"/>
  <c r="U34" i="6" s="1"/>
  <c r="H35" i="6"/>
  <c r="H36" i="6"/>
  <c r="U36" i="6" s="1"/>
  <c r="H37" i="6"/>
  <c r="H38" i="6"/>
  <c r="H39" i="6"/>
  <c r="U39" i="6" s="1"/>
  <c r="H40" i="6"/>
  <c r="H41" i="6"/>
  <c r="H42" i="6"/>
  <c r="H43" i="6"/>
  <c r="U43" i="6" s="1"/>
  <c r="H44" i="6"/>
  <c r="H45" i="6"/>
  <c r="H46" i="6"/>
  <c r="H47" i="6"/>
  <c r="H48" i="6"/>
  <c r="H49" i="6"/>
  <c r="H50" i="6"/>
  <c r="H51" i="6"/>
  <c r="U51" i="6" s="1"/>
  <c r="H52" i="6"/>
  <c r="H53" i="6"/>
  <c r="U53" i="6" s="1"/>
  <c r="H54" i="6"/>
  <c r="H55" i="6"/>
  <c r="H56" i="6"/>
  <c r="H57" i="6"/>
  <c r="H58" i="6"/>
  <c r="H59" i="6"/>
  <c r="U59" i="6" s="1"/>
  <c r="H60" i="6"/>
  <c r="H61" i="6"/>
  <c r="U61" i="6" s="1"/>
  <c r="H62" i="6"/>
  <c r="H63" i="6"/>
  <c r="H64" i="6"/>
  <c r="H65" i="6"/>
  <c r="U65" i="6" s="1"/>
  <c r="H66" i="6"/>
  <c r="H67" i="6"/>
  <c r="U67" i="6" s="1"/>
  <c r="H68" i="6"/>
  <c r="U68" i="6" s="1"/>
  <c r="H69" i="6"/>
  <c r="U69" i="6" s="1"/>
  <c r="H70" i="6"/>
  <c r="U70" i="6" s="1"/>
  <c r="H71" i="6"/>
  <c r="H72" i="6"/>
  <c r="U72" i="6" s="1"/>
  <c r="G3" i="6"/>
  <c r="T3" i="6" s="1"/>
  <c r="G4" i="6"/>
  <c r="G5" i="6"/>
  <c r="G6" i="6"/>
  <c r="G7" i="6"/>
  <c r="G8" i="6"/>
  <c r="G9" i="6"/>
  <c r="T9" i="6" s="1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T28" i="6" s="1"/>
  <c r="G29" i="6"/>
  <c r="G30" i="6"/>
  <c r="G31" i="6"/>
  <c r="G32" i="6"/>
  <c r="G33" i="6"/>
  <c r="G34" i="6"/>
  <c r="G35" i="6"/>
  <c r="G36" i="6"/>
  <c r="G37" i="6"/>
  <c r="G38" i="6"/>
  <c r="T38" i="6" s="1"/>
  <c r="G39" i="6"/>
  <c r="G40" i="6"/>
  <c r="G41" i="6"/>
  <c r="T41" i="6" s="1"/>
  <c r="G42" i="6"/>
  <c r="G43" i="6"/>
  <c r="G44" i="6"/>
  <c r="T44" i="6" s="1"/>
  <c r="G45" i="6"/>
  <c r="G46" i="6"/>
  <c r="G47" i="6"/>
  <c r="T47" i="6" s="1"/>
  <c r="G48" i="6"/>
  <c r="G49" i="6"/>
  <c r="T49" i="6" s="1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T66" i="6" s="1"/>
  <c r="G67" i="6"/>
  <c r="G68" i="6"/>
  <c r="G69" i="6"/>
  <c r="G70" i="6"/>
  <c r="G71" i="6"/>
  <c r="T71" i="6" s="1"/>
  <c r="G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I2" i="6"/>
  <c r="H2" i="6"/>
  <c r="U2" i="6" s="1"/>
  <c r="G2" i="6"/>
  <c r="F2" i="6"/>
  <c r="E2" i="6"/>
  <c r="D11" i="6"/>
  <c r="D3" i="6"/>
  <c r="D4" i="6"/>
  <c r="D5" i="6"/>
  <c r="D6" i="6"/>
  <c r="D7" i="6"/>
  <c r="D8" i="6"/>
  <c r="D9" i="6"/>
  <c r="D10" i="6"/>
  <c r="D12" i="6"/>
  <c r="J12" i="6" s="1"/>
  <c r="K12" i="6" s="1"/>
  <c r="D13" i="6"/>
  <c r="D14" i="6"/>
  <c r="J14" i="6" s="1"/>
  <c r="K14" i="6" s="1"/>
  <c r="D15" i="6"/>
  <c r="D16" i="6"/>
  <c r="D17" i="6"/>
  <c r="D18" i="6"/>
  <c r="D19" i="6"/>
  <c r="D20" i="6"/>
  <c r="D21" i="6"/>
  <c r="D22" i="6"/>
  <c r="D23" i="6"/>
  <c r="D24" i="6"/>
  <c r="D25" i="6"/>
  <c r="D26" i="6"/>
  <c r="J26" i="6" s="1"/>
  <c r="K26" i="6" s="1"/>
  <c r="D27" i="6"/>
  <c r="D28" i="6"/>
  <c r="D29" i="6"/>
  <c r="D30" i="6"/>
  <c r="D31" i="6"/>
  <c r="D32" i="6"/>
  <c r="D33" i="6"/>
  <c r="D34" i="6"/>
  <c r="D35" i="6"/>
  <c r="D36" i="6"/>
  <c r="J36" i="6" s="1"/>
  <c r="K36" i="6" s="1"/>
  <c r="D37" i="6"/>
  <c r="D38" i="6"/>
  <c r="J38" i="6" s="1"/>
  <c r="K38" i="6" s="1"/>
  <c r="D39" i="6"/>
  <c r="D40" i="6"/>
  <c r="D41" i="6"/>
  <c r="D42" i="6"/>
  <c r="D43" i="6"/>
  <c r="D44" i="6"/>
  <c r="D45" i="6"/>
  <c r="D46" i="6"/>
  <c r="D47" i="6"/>
  <c r="D48" i="6"/>
  <c r="J48" i="6" s="1"/>
  <c r="K48" i="6" s="1"/>
  <c r="D49" i="6"/>
  <c r="D50" i="6"/>
  <c r="J50" i="6" s="1"/>
  <c r="K50" i="6" s="1"/>
  <c r="D51" i="6"/>
  <c r="D52" i="6"/>
  <c r="D53" i="6"/>
  <c r="D54" i="6"/>
  <c r="D55" i="6"/>
  <c r="D56" i="6"/>
  <c r="D57" i="6"/>
  <c r="D58" i="6"/>
  <c r="D59" i="6"/>
  <c r="D60" i="6"/>
  <c r="J60" i="6" s="1"/>
  <c r="K60" i="6" s="1"/>
  <c r="D61" i="6"/>
  <c r="D62" i="6"/>
  <c r="J62" i="6" s="1"/>
  <c r="K62" i="6" s="1"/>
  <c r="D63" i="6"/>
  <c r="D64" i="6"/>
  <c r="D65" i="6"/>
  <c r="D66" i="6"/>
  <c r="D67" i="6"/>
  <c r="D68" i="6"/>
  <c r="D69" i="6"/>
  <c r="D70" i="6"/>
  <c r="D71" i="6"/>
  <c r="D72" i="6"/>
  <c r="D2" i="6"/>
  <c r="J2" i="6" s="1"/>
  <c r="K2" i="6" s="1"/>
  <c r="U12" i="6" l="1"/>
  <c r="U60" i="6"/>
  <c r="U24" i="6"/>
  <c r="T2" i="6"/>
  <c r="U52" i="6"/>
  <c r="U54" i="6"/>
  <c r="U5" i="6"/>
  <c r="U63" i="6"/>
  <c r="U27" i="6"/>
  <c r="T62" i="6"/>
  <c r="T50" i="6"/>
  <c r="T26" i="6"/>
  <c r="T14" i="6"/>
  <c r="U48" i="6"/>
  <c r="T60" i="6"/>
  <c r="T12" i="6"/>
  <c r="U35" i="6"/>
  <c r="J24" i="6"/>
  <c r="K24" i="6" s="1"/>
  <c r="U41" i="6"/>
  <c r="U3" i="6"/>
  <c r="U62" i="6"/>
  <c r="U26" i="6"/>
  <c r="U37" i="6"/>
  <c r="U50" i="6"/>
  <c r="U14" i="6"/>
  <c r="J72" i="6"/>
  <c r="K72" i="6" s="1"/>
  <c r="L72" i="6" s="1"/>
  <c r="U45" i="6"/>
  <c r="U33" i="6"/>
  <c r="U56" i="6"/>
  <c r="U20" i="6"/>
  <c r="U38" i="6"/>
  <c r="U49" i="6"/>
  <c r="U25" i="6"/>
  <c r="U13" i="6"/>
  <c r="U58" i="6"/>
  <c r="U46" i="6"/>
  <c r="U57" i="6"/>
  <c r="U9" i="6"/>
  <c r="U44" i="6"/>
  <c r="U32" i="6"/>
  <c r="U71" i="6"/>
  <c r="U47" i="6"/>
  <c r="U55" i="6"/>
  <c r="U19" i="6"/>
  <c r="U66" i="6"/>
  <c r="U42" i="6"/>
  <c r="U64" i="6"/>
  <c r="U40" i="6"/>
  <c r="U28" i="6"/>
  <c r="T48" i="6"/>
  <c r="T36" i="6"/>
  <c r="O78" i="12"/>
  <c r="O79" i="12" s="1"/>
  <c r="P78" i="12"/>
  <c r="P79" i="12" s="1"/>
  <c r="O3" i="6"/>
  <c r="O49" i="6"/>
  <c r="O37" i="6"/>
  <c r="O25" i="6"/>
  <c r="O13" i="6"/>
  <c r="O72" i="6"/>
  <c r="O60" i="6"/>
  <c r="O48" i="6"/>
  <c r="O36" i="6"/>
  <c r="O24" i="6"/>
  <c r="O12" i="6"/>
  <c r="O47" i="6"/>
  <c r="O70" i="6"/>
  <c r="O58" i="6"/>
  <c r="O46" i="6"/>
  <c r="O34" i="6"/>
  <c r="O22" i="6"/>
  <c r="O10" i="6"/>
  <c r="O69" i="6"/>
  <c r="O45" i="6"/>
  <c r="O68" i="6"/>
  <c r="O56" i="6"/>
  <c r="O44" i="6"/>
  <c r="O32" i="6"/>
  <c r="O20" i="6"/>
  <c r="O8" i="6"/>
  <c r="O55" i="6"/>
  <c r="O43" i="6"/>
  <c r="N78" i="12"/>
  <c r="O66" i="6"/>
  <c r="O54" i="6"/>
  <c r="O42" i="6"/>
  <c r="O30" i="6"/>
  <c r="O18" i="6"/>
  <c r="O6" i="6"/>
  <c r="O65" i="6"/>
  <c r="O53" i="6"/>
  <c r="O41" i="6"/>
  <c r="O29" i="6"/>
  <c r="O17" i="6"/>
  <c r="O52" i="6"/>
  <c r="O40" i="6"/>
  <c r="O28" i="6"/>
  <c r="O16" i="6"/>
  <c r="O5" i="6"/>
  <c r="O63" i="6"/>
  <c r="O51" i="6"/>
  <c r="O39" i="6"/>
  <c r="O27" i="6"/>
  <c r="O15" i="6"/>
  <c r="G73" i="6"/>
  <c r="H73" i="6"/>
  <c r="J8" i="6"/>
  <c r="K8" i="6" s="1"/>
  <c r="J9" i="6"/>
  <c r="K9" i="6" s="1"/>
  <c r="L9" i="6" s="1"/>
  <c r="J69" i="6"/>
  <c r="K69" i="6" s="1"/>
  <c r="L69" i="6" s="1"/>
  <c r="J57" i="6"/>
  <c r="K57" i="6" s="1"/>
  <c r="L57" i="6" s="1"/>
  <c r="J45" i="6"/>
  <c r="K45" i="6" s="1"/>
  <c r="L45" i="6" s="1"/>
  <c r="J33" i="6"/>
  <c r="K33" i="6" s="1"/>
  <c r="L33" i="6" s="1"/>
  <c r="J21" i="6"/>
  <c r="K21" i="6" s="1"/>
  <c r="L21" i="6" s="1"/>
  <c r="J67" i="6"/>
  <c r="K67" i="6" s="1"/>
  <c r="L67" i="6" s="1"/>
  <c r="J55" i="6"/>
  <c r="K55" i="6" s="1"/>
  <c r="L55" i="6" s="1"/>
  <c r="J43" i="6"/>
  <c r="K43" i="6" s="1"/>
  <c r="L43" i="6" s="1"/>
  <c r="J31" i="6"/>
  <c r="K31" i="6" s="1"/>
  <c r="L31" i="6" s="1"/>
  <c r="J19" i="6"/>
  <c r="K19" i="6" s="1"/>
  <c r="L19" i="6" s="1"/>
  <c r="J4" i="6"/>
  <c r="K4" i="6" s="1"/>
  <c r="L4" i="6" s="1"/>
  <c r="J64" i="6"/>
  <c r="K64" i="6" s="1"/>
  <c r="L64" i="6" s="1"/>
  <c r="J52" i="6"/>
  <c r="K52" i="6" s="1"/>
  <c r="L52" i="6" s="1"/>
  <c r="J40" i="6"/>
  <c r="K40" i="6" s="1"/>
  <c r="L40" i="6" s="1"/>
  <c r="J28" i="6"/>
  <c r="K28" i="6" s="1"/>
  <c r="L28" i="6" s="1"/>
  <c r="J16" i="6"/>
  <c r="K16" i="6" s="1"/>
  <c r="L16" i="6" s="1"/>
  <c r="J3" i="6"/>
  <c r="K3" i="6" s="1"/>
  <c r="L3" i="6" s="1"/>
  <c r="M73" i="6"/>
  <c r="N73" i="6"/>
  <c r="J61" i="6"/>
  <c r="K61" i="6" s="1"/>
  <c r="L61" i="6" s="1"/>
  <c r="J49" i="6"/>
  <c r="K49" i="6" s="1"/>
  <c r="L49" i="6" s="1"/>
  <c r="J37" i="6"/>
  <c r="K37" i="6" s="1"/>
  <c r="L37" i="6" s="1"/>
  <c r="J25" i="6"/>
  <c r="K25" i="6" s="1"/>
  <c r="L25" i="6" s="1"/>
  <c r="J13" i="6"/>
  <c r="K13" i="6" s="1"/>
  <c r="L13" i="6" s="1"/>
  <c r="J5" i="6"/>
  <c r="K5" i="6" s="1"/>
  <c r="L5" i="6" s="1"/>
  <c r="J11" i="6"/>
  <c r="J71" i="6"/>
  <c r="K71" i="6" s="1"/>
  <c r="L71" i="6" s="1"/>
  <c r="J59" i="6"/>
  <c r="K59" i="6" s="1"/>
  <c r="L59" i="6" s="1"/>
  <c r="J47" i="6"/>
  <c r="K47" i="6" s="1"/>
  <c r="L47" i="6" s="1"/>
  <c r="J35" i="6"/>
  <c r="K35" i="6" s="1"/>
  <c r="L35" i="6" s="1"/>
  <c r="J23" i="6"/>
  <c r="J68" i="6"/>
  <c r="K68" i="6" s="1"/>
  <c r="L68" i="6" s="1"/>
  <c r="J56" i="6"/>
  <c r="K56" i="6" s="1"/>
  <c r="L56" i="6" s="1"/>
  <c r="J44" i="6"/>
  <c r="K44" i="6" s="1"/>
  <c r="L44" i="6" s="1"/>
  <c r="J32" i="6"/>
  <c r="K32" i="6" s="1"/>
  <c r="L32" i="6" s="1"/>
  <c r="J20" i="6"/>
  <c r="K20" i="6" s="1"/>
  <c r="L20" i="6" s="1"/>
  <c r="J7" i="6"/>
  <c r="K7" i="6" s="1"/>
  <c r="L7" i="6" s="1"/>
  <c r="J65" i="6"/>
  <c r="K65" i="6" s="1"/>
  <c r="L65" i="6" s="1"/>
  <c r="J53" i="6"/>
  <c r="K53" i="6" s="1"/>
  <c r="L53" i="6" s="1"/>
  <c r="J41" i="6"/>
  <c r="K41" i="6" s="1"/>
  <c r="L41" i="6" s="1"/>
  <c r="J29" i="6"/>
  <c r="K29" i="6" s="1"/>
  <c r="L29" i="6" s="1"/>
  <c r="J17" i="6"/>
  <c r="K17" i="6" s="1"/>
  <c r="L17" i="6" s="1"/>
  <c r="J63" i="6"/>
  <c r="K63" i="6" s="1"/>
  <c r="L63" i="6" s="1"/>
  <c r="J51" i="6"/>
  <c r="K51" i="6" s="1"/>
  <c r="L51" i="6" s="1"/>
  <c r="J39" i="6"/>
  <c r="K39" i="6" s="1"/>
  <c r="L39" i="6" s="1"/>
  <c r="J27" i="6"/>
  <c r="K27" i="6" s="1"/>
  <c r="L27" i="6" s="1"/>
  <c r="J15" i="6"/>
  <c r="K15" i="6" s="1"/>
  <c r="L15" i="6" s="1"/>
  <c r="L62" i="6"/>
  <c r="L50" i="6"/>
  <c r="L38" i="6"/>
  <c r="L26" i="6"/>
  <c r="L14" i="6"/>
  <c r="L60" i="6"/>
  <c r="L48" i="6"/>
  <c r="L36" i="6"/>
  <c r="L24" i="6"/>
  <c r="L12" i="6"/>
  <c r="L2" i="6"/>
  <c r="L8" i="6"/>
  <c r="J10" i="6"/>
  <c r="K10" i="6" s="1"/>
  <c r="L10" i="6" s="1"/>
  <c r="J70" i="6"/>
  <c r="K70" i="6" s="1"/>
  <c r="L70" i="6" s="1"/>
  <c r="J58" i="6"/>
  <c r="K58" i="6" s="1"/>
  <c r="L58" i="6" s="1"/>
  <c r="J46" i="6"/>
  <c r="K46" i="6" s="1"/>
  <c r="L46" i="6" s="1"/>
  <c r="J34" i="6"/>
  <c r="K34" i="6" s="1"/>
  <c r="L34" i="6" s="1"/>
  <c r="J22" i="6"/>
  <c r="K22" i="6" s="1"/>
  <c r="L22" i="6" s="1"/>
  <c r="J6" i="6"/>
  <c r="K6" i="6" s="1"/>
  <c r="L6" i="6" s="1"/>
  <c r="J66" i="6"/>
  <c r="K66" i="6" s="1"/>
  <c r="L66" i="6" s="1"/>
  <c r="J54" i="6"/>
  <c r="K54" i="6" s="1"/>
  <c r="L54" i="6" s="1"/>
  <c r="J42" i="6"/>
  <c r="K42" i="6" s="1"/>
  <c r="L42" i="6" s="1"/>
  <c r="J30" i="6"/>
  <c r="K30" i="6" s="1"/>
  <c r="L30" i="6" s="1"/>
  <c r="J18" i="6"/>
  <c r="K18" i="6" s="1"/>
  <c r="L18" i="6" s="1"/>
  <c r="T27" i="6" l="1"/>
  <c r="T24" i="6"/>
  <c r="T19" i="6"/>
  <c r="T31" i="6"/>
  <c r="T54" i="6"/>
  <c r="U73" i="6"/>
  <c r="T72" i="6"/>
  <c r="T69" i="6"/>
  <c r="T43" i="6"/>
  <c r="T56" i="6"/>
  <c r="T8" i="6"/>
  <c r="T37" i="6"/>
  <c r="T68" i="6"/>
  <c r="T20" i="6"/>
  <c r="T33" i="6"/>
  <c r="T61" i="6"/>
  <c r="T45" i="6"/>
  <c r="T52" i="6"/>
  <c r="T35" i="6"/>
  <c r="T55" i="6"/>
  <c r="T59" i="6"/>
  <c r="K23" i="6"/>
  <c r="L23" i="6" s="1"/>
  <c r="T23" i="6"/>
  <c r="T10" i="6"/>
  <c r="T13" i="6"/>
  <c r="T34" i="6"/>
  <c r="T32" i="6"/>
  <c r="T25" i="6"/>
  <c r="T5" i="6"/>
  <c r="T21" i="6"/>
  <c r="T51" i="6"/>
  <c r="T67" i="6"/>
  <c r="T58" i="6"/>
  <c r="T17" i="6"/>
  <c r="T63" i="6"/>
  <c r="T57" i="6"/>
  <c r="T4" i="6"/>
  <c r="K11" i="6"/>
  <c r="L11" i="6" s="1"/>
  <c r="T11" i="6"/>
  <c r="T29" i="6"/>
  <c r="T6" i="6"/>
  <c r="T22" i="6"/>
  <c r="T16" i="6"/>
  <c r="T53" i="6"/>
  <c r="T18" i="6"/>
  <c r="T46" i="6"/>
  <c r="T40" i="6"/>
  <c r="T65" i="6"/>
  <c r="T30" i="6"/>
  <c r="T70" i="6"/>
  <c r="T64" i="6"/>
  <c r="T7" i="6"/>
  <c r="T42" i="6"/>
  <c r="T15" i="6"/>
  <c r="T39" i="6"/>
  <c r="O73" i="6"/>
  <c r="J73" i="6"/>
  <c r="L73" i="6" l="1"/>
  <c r="K73" i="6"/>
  <c r="T7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CDF208-2D84-4CC7-AAEC-74FADFC3BD4B}" keepAlive="1" name="ThisWorkbookDataModel" description="資料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739FEED-91C7-456A-8886-0933ACE49879}" name="WorksheetConnection_batch_event_summary!$A$1:$W$501" type="102" refreshedVersion="8" minRefreshableVersion="5">
    <extLst>
      <ext xmlns:x15="http://schemas.microsoft.com/office/spreadsheetml/2010/11/main" uri="{DE250136-89BD-433C-8126-D09CA5730AF9}">
        <x15:connection id="範圍" autoDelete="1">
          <x15:rangePr sourceName="_xlcn.WorksheetConnection_batch_event_summaryA1W5011"/>
        </x15:connection>
      </ext>
    </extLst>
  </connection>
  <connection id="3" xr16:uid="{EEE38802-630C-45AB-A706-19A92AB34B6C}" keepAlive="1" name="查詢 - batch_final_timeline_by_case" description="與活頁簿中 'batch_final_timeline_by_case' 查詢的連接。" type="5" refreshedVersion="8" background="1" saveData="1">
    <dbPr connection="Provider=Microsoft.Mashup.OleDb.1;Data Source=$Workbook$;Location=batch_final_timeline_by_case;Extended Properties=&quot;&quot;" command="SELECT * FROM [batch_final_timeline_by_case]"/>
  </connection>
  <connection id="4" xr16:uid="{6AD0D66D-2E02-44CC-8DE0-0E2189CBF8C5}" keepAlive="1" name="查詢 - idle_time_ratio_summary" description="與活頁簿中 'idle_time_ratio_summary' 查詢的連接。" type="5" refreshedVersion="8" background="1" saveData="1">
    <dbPr connection="Provider=Microsoft.Mashup.OleDb.1;Data Source=$Workbook$;Location=idle_time_ratio_summary;Extended Properties=&quot;&quot;" command="SELECT * FROM [idle_time_ratio_summary]"/>
  </connection>
</connections>
</file>

<file path=xl/sharedStrings.xml><?xml version="1.0" encoding="utf-8"?>
<sst xmlns="http://schemas.openxmlformats.org/spreadsheetml/2006/main" count="2050" uniqueCount="322">
  <si>
    <t>case_id</t>
  </si>
  <si>
    <t>step_idx</t>
  </si>
  <si>
    <t>failure_type</t>
  </si>
  <si>
    <t>decision_time</t>
  </si>
  <si>
    <t>csv_delay_time</t>
  </si>
  <si>
    <t>actual_incremental_delay</t>
  </si>
  <si>
    <t>applied_nores_delay</t>
  </si>
  <si>
    <t>delay_source</t>
  </si>
  <si>
    <t>nores_makespan</t>
  </si>
  <si>
    <t>dynamic_makespan_after_event</t>
  </si>
  <si>
    <t>nores_minus_dynamic</t>
  </si>
  <si>
    <t>target_task</t>
  </si>
  <si>
    <t>t1</t>
  </si>
  <si>
    <t>t2</t>
  </si>
  <si>
    <t>earlier_task</t>
  </si>
  <si>
    <t>later_task</t>
  </si>
  <si>
    <t>order_base_duration</t>
  </si>
  <si>
    <t>order_required_task_actual_duration</t>
  </si>
  <si>
    <t>order_wrong_first_task_actual_duration</t>
  </si>
  <si>
    <t>order_later_standard_duration</t>
  </si>
  <si>
    <t>order_compensation_upper</t>
  </si>
  <si>
    <t>released_previous_delay</t>
  </si>
  <si>
    <t>observed_order_extra_delay</t>
  </si>
  <si>
    <t>20260616_163957</t>
  </si>
  <si>
    <t>delay</t>
  </si>
  <si>
    <t>real_gantt_duration_synchronized</t>
  </si>
  <si>
    <t>order</t>
  </si>
  <si>
    <t>order_wrong_first_actual_plus_fixed_3.35_on_earlier_task</t>
  </si>
  <si>
    <t>20260616_165213</t>
  </si>
  <si>
    <t>20260617_161127</t>
  </si>
  <si>
    <t>20260617_161833</t>
  </si>
  <si>
    <t>20260617_162610</t>
  </si>
  <si>
    <t>20260617_163225</t>
  </si>
  <si>
    <t>20260617_163852</t>
  </si>
  <si>
    <t>20260617_164554</t>
  </si>
  <si>
    <t>20260617_165310</t>
  </si>
  <si>
    <t>20260617_170056</t>
  </si>
  <si>
    <t>20260617_170735</t>
  </si>
  <si>
    <t>20260617_214847</t>
  </si>
  <si>
    <t>20260617_215539</t>
  </si>
  <si>
    <t>20260617_220342</t>
  </si>
  <si>
    <t>20260617_221043</t>
  </si>
  <si>
    <t>20260617_221608</t>
  </si>
  <si>
    <t>20260617_222235</t>
  </si>
  <si>
    <t>20260617_223549</t>
  </si>
  <si>
    <t>20260617_224021</t>
  </si>
  <si>
    <t>20260617_224555</t>
  </si>
  <si>
    <t>20260617_225121</t>
  </si>
  <si>
    <t>20260617_225645</t>
  </si>
  <si>
    <t>20260617_230214</t>
  </si>
  <si>
    <t>20260618_143804</t>
  </si>
  <si>
    <t>20260618_144336</t>
  </si>
  <si>
    <t>20260618_144802</t>
  </si>
  <si>
    <t>20260618_145303</t>
  </si>
  <si>
    <t>20260618_150321</t>
  </si>
  <si>
    <t>20260618_150754</t>
  </si>
  <si>
    <t>20260618_153051</t>
  </si>
  <si>
    <t>20260618_153713</t>
  </si>
  <si>
    <t>20260618_154903</t>
  </si>
  <si>
    <t>20260618_155540</t>
  </si>
  <si>
    <t>20260618_171939</t>
  </si>
  <si>
    <t>20260618_172550</t>
  </si>
  <si>
    <t>20260618_173434</t>
  </si>
  <si>
    <t>20260618_174248</t>
  </si>
  <si>
    <t>20260618_175053</t>
  </si>
  <si>
    <t>20260618_175805</t>
  </si>
  <si>
    <t>20260618_180614</t>
  </si>
  <si>
    <t>20260618_182135</t>
  </si>
  <si>
    <t>20260618_182902</t>
  </si>
  <si>
    <t>20260618_183455</t>
  </si>
  <si>
    <t>20260621_170757</t>
  </si>
  <si>
    <t>20260621_171234</t>
  </si>
  <si>
    <t>20260621_171649</t>
  </si>
  <si>
    <t>20260621_172604</t>
  </si>
  <si>
    <t>20260621_173643</t>
  </si>
  <si>
    <t>20260621_174256</t>
  </si>
  <si>
    <t>20260621_174800</t>
  </si>
  <si>
    <t>20260621_180040</t>
  </si>
  <si>
    <t>20260621_183301</t>
  </si>
  <si>
    <t>20260621_183749</t>
  </si>
  <si>
    <t>20260621_184824</t>
  </si>
  <si>
    <t>20260621_185411</t>
  </si>
  <si>
    <t>20260621_191117</t>
  </si>
  <si>
    <t>20260621_191926</t>
  </si>
  <si>
    <t>20260621_192651</t>
  </si>
  <si>
    <t>20260621_193635</t>
  </si>
  <si>
    <t>20260621_212643</t>
  </si>
  <si>
    <t>20260621_213147</t>
  </si>
  <si>
    <t>20260621_214416</t>
  </si>
  <si>
    <t>20260621_214951</t>
  </si>
  <si>
    <t>20260621_220456</t>
  </si>
  <si>
    <t>20260621_220936</t>
  </si>
  <si>
    <t>20260621_221335</t>
  </si>
  <si>
    <t>20260621_221747</t>
  </si>
  <si>
    <t>20260621_222241</t>
  </si>
  <si>
    <t>20260621_222707</t>
  </si>
  <si>
    <t>20260621_223136</t>
  </si>
  <si>
    <t>20260621_223602</t>
  </si>
  <si>
    <t>列標籤</t>
  </si>
  <si>
    <t>num_events</t>
  </si>
  <si>
    <t>offline_makespan</t>
  </si>
  <si>
    <t>final_nores_makespan</t>
  </si>
  <si>
    <t>final_dynamic_makespan</t>
  </si>
  <si>
    <t>final_nores_minus_dynamic</t>
  </si>
  <si>
    <t>dynamic_final_better</t>
  </si>
  <si>
    <t>nores_final_better</t>
  </si>
  <si>
    <t>tie</t>
  </si>
  <si>
    <t>comparison_rule</t>
  </si>
  <si>
    <t>tie_tolerance_seconds</t>
  </si>
  <si>
    <t>final_comparison_png</t>
  </si>
  <si>
    <t>output_dir</t>
  </si>
  <si>
    <t>20260618_145723</t>
  </si>
  <si>
    <t>no_failure_tolerance</t>
  </si>
  <si>
    <t>C:\Users\c2466\Desktop\task_monitor\batch_real_nores_outputs\20260618_145723\comparison_gantt.png</t>
  </si>
  <si>
    <t>C:\Users\c2466\Desktop\task_monitor\batch_real_nores_outputs\20260618_145723</t>
  </si>
  <si>
    <t>20260618_151245</t>
  </si>
  <si>
    <t>C:\Users\c2466\Desktop\task_monitor\batch_real_nores_outputs\20260618_151245\comparison_gantt.png</t>
  </si>
  <si>
    <t>C:\Users\c2466\Desktop\task_monitor\batch_real_nores_outputs\20260618_151245</t>
  </si>
  <si>
    <t>20260621_172052</t>
  </si>
  <si>
    <t>C:\Users\c2466\Desktop\task_monitor\batch_real_nores_outputs\20260621_172052\comparison_gantt.png</t>
  </si>
  <si>
    <t>C:\Users\c2466\Desktop\task_monitor\batch_real_nores_outputs\20260621_172052</t>
  </si>
  <si>
    <t>20260621_175246</t>
  </si>
  <si>
    <t>C:\Users\c2466\Desktop\task_monitor\batch_real_nores_outputs\20260621_175246\comparison_gantt.png</t>
  </si>
  <si>
    <t>C:\Users\c2466\Desktop\task_monitor\batch_real_nores_outputs\20260621_175246</t>
  </si>
  <si>
    <t>20260621_193120</t>
  </si>
  <si>
    <t>C:\Users\c2466\Desktop\task_monitor\batch_real_nores_outputs\20260621_193120\comparison_gantt.png</t>
  </si>
  <si>
    <t>C:\Users\c2466\Desktop\task_monitor\batch_real_nores_outputs\20260621_193120</t>
  </si>
  <si>
    <t>failure_case_exact_difference</t>
  </si>
  <si>
    <t>C:\Users\c2466\Desktop\task_monitor\batch_real_nores_outputs\20260621_170757\comparison_gantt.png</t>
  </si>
  <si>
    <t>C:\Users\c2466\Desktop\task_monitor\batch_real_nores_outputs\20260621_170757</t>
  </si>
  <si>
    <t>C:\Users\c2466\Desktop\task_monitor\batch_real_nores_outputs\20260621_171234\comparison_gantt.png</t>
  </si>
  <si>
    <t>C:\Users\c2466\Desktop\task_monitor\batch_real_nores_outputs\20260621_171234</t>
  </si>
  <si>
    <t>C:\Users\c2466\Desktop\task_monitor\batch_real_nores_outputs\20260621_171649\comparison_gantt.png</t>
  </si>
  <si>
    <t>C:\Users\c2466\Desktop\task_monitor\batch_real_nores_outputs\20260621_171649</t>
  </si>
  <si>
    <t>C:\Users\c2466\Desktop\task_monitor\batch_real_nores_outputs\20260621_172604\comparison_gantt.png</t>
  </si>
  <si>
    <t>C:\Users\c2466\Desktop\task_monitor\batch_real_nores_outputs\20260621_172604</t>
  </si>
  <si>
    <t>C:\Users\c2466\Desktop\task_monitor\batch_real_nores_outputs\20260621_185411\comparison_gantt.png</t>
  </si>
  <si>
    <t>C:\Users\c2466\Desktop\task_monitor\batch_real_nores_outputs\20260621_185411</t>
  </si>
  <si>
    <t>C:\Users\c2466\Desktop\task_monitor\batch_real_nores_outputs\20260621_212643\comparison_gantt.png</t>
  </si>
  <si>
    <t>C:\Users\c2466\Desktop\task_monitor\batch_real_nores_outputs\20260621_212643</t>
  </si>
  <si>
    <t>C:\Users\c2466\Desktop\task_monitor\batch_real_nores_outputs\20260621_222707\comparison_gantt.png</t>
  </si>
  <si>
    <t>C:\Users\c2466\Desktop\task_monitor\batch_real_nores_outputs\20260621_222707</t>
  </si>
  <si>
    <t>C:\Users\c2466\Desktop\task_monitor\batch_real_nores_outputs\20260617_170056\comparison_gantt.png</t>
  </si>
  <si>
    <t>C:\Users\c2466\Desktop\task_monitor\batch_real_nores_outputs\20260617_170056</t>
  </si>
  <si>
    <t>C:\Users\c2466\Desktop\task_monitor\batch_real_nores_outputs\20260618_150754\comparison_gantt.png</t>
  </si>
  <si>
    <t>C:\Users\c2466\Desktop\task_monitor\batch_real_nores_outputs\20260618_150754</t>
  </si>
  <si>
    <t>C:\Users\c2466\Desktop\task_monitor\batch_real_nores_outputs\20260618_175053\comparison_gantt.png</t>
  </si>
  <si>
    <t>C:\Users\c2466\Desktop\task_monitor\batch_real_nores_outputs\20260618_175053</t>
  </si>
  <si>
    <t>C:\Users\c2466\Desktop\task_monitor\batch_real_nores_outputs\20260618_182135\comparison_gantt.png</t>
  </si>
  <si>
    <t>C:\Users\c2466\Desktop\task_monitor\batch_real_nores_outputs\20260618_182135</t>
  </si>
  <si>
    <t>C:\Users\c2466\Desktop\task_monitor\batch_real_nores_outputs\20260621_174256\comparison_gantt.png</t>
  </si>
  <si>
    <t>C:\Users\c2466\Desktop\task_monitor\batch_real_nores_outputs\20260621_174256</t>
  </si>
  <si>
    <t>C:\Users\c2466\Desktop\task_monitor\batch_real_nores_outputs\20260621_184824\comparison_gantt.png</t>
  </si>
  <si>
    <t>C:\Users\c2466\Desktop\task_monitor\batch_real_nores_outputs\20260621_184824</t>
  </si>
  <si>
    <t>C:\Users\c2466\Desktop\task_monitor\batch_real_nores_outputs\20260621_191926\comparison_gantt.png</t>
  </si>
  <si>
    <t>C:\Users\c2466\Desktop\task_monitor\batch_real_nores_outputs\20260621_191926</t>
  </si>
  <si>
    <t>C:\Users\c2466\Desktop\task_monitor\batch_real_nores_outputs\20260617_165310\comparison_gantt.png</t>
  </si>
  <si>
    <t>C:\Users\c2466\Desktop\task_monitor\batch_real_nores_outputs\20260617_165310</t>
  </si>
  <si>
    <t>C:\Users\c2466\Desktop\task_monitor\batch_real_nores_outputs\20260617_224021\comparison_gantt.png</t>
  </si>
  <si>
    <t>C:\Users\c2466\Desktop\task_monitor\batch_real_nores_outputs\20260617_224021</t>
  </si>
  <si>
    <t>C:\Users\c2466\Desktop\task_monitor\batch_real_nores_outputs\20260618_144336\comparison_gantt.png</t>
  </si>
  <si>
    <t>C:\Users\c2466\Desktop\task_monitor\batch_real_nores_outputs\20260618_144336</t>
  </si>
  <si>
    <t>C:\Users\c2466\Desktop\task_monitor\batch_real_nores_outputs\20260621_192651\comparison_gantt.png</t>
  </si>
  <si>
    <t>C:\Users\c2466\Desktop\task_monitor\batch_real_nores_outputs\20260621_192651</t>
  </si>
  <si>
    <t>C:\Users\c2466\Desktop\task_monitor\batch_real_nores_outputs\20260621_222241\comparison_gantt.png</t>
  </si>
  <si>
    <t>C:\Users\c2466\Desktop\task_monitor\batch_real_nores_outputs\20260621_222241</t>
  </si>
  <si>
    <t>C:\Users\c2466\Desktop\task_monitor\batch_real_nores_outputs\20260617_161833\comparison_gantt.png</t>
  </si>
  <si>
    <t>C:\Users\c2466\Desktop\task_monitor\batch_real_nores_outputs\20260617_161833</t>
  </si>
  <si>
    <t>C:\Users\c2466\Desktop\task_monitor\batch_real_nores_outputs\20260617_164554\comparison_gantt.png</t>
  </si>
  <si>
    <t>C:\Users\c2466\Desktop\task_monitor\batch_real_nores_outputs\20260617_164554</t>
  </si>
  <si>
    <t>C:\Users\c2466\Desktop\task_monitor\batch_real_nores_outputs\20260617_225645\comparison_gantt.png</t>
  </si>
  <si>
    <t>C:\Users\c2466\Desktop\task_monitor\batch_real_nores_outputs\20260617_225645</t>
  </si>
  <si>
    <t>C:\Users\c2466\Desktop\task_monitor\batch_real_nores_outputs\20260618_143804\comparison_gantt.png</t>
  </si>
  <si>
    <t>C:\Users\c2466\Desktop\task_monitor\batch_real_nores_outputs\20260618_143804</t>
  </si>
  <si>
    <t>C:\Users\c2466\Desktop\task_monitor\batch_real_nores_outputs\20260618_175805\comparison_gantt.png</t>
  </si>
  <si>
    <t>C:\Users\c2466\Desktop\task_monitor\batch_real_nores_outputs\20260618_175805</t>
  </si>
  <si>
    <t>C:\Users\c2466\Desktop\task_monitor\batch_real_nores_outputs\20260618_180614\comparison_gantt.png</t>
  </si>
  <si>
    <t>C:\Users\c2466\Desktop\task_monitor\batch_real_nores_outputs\20260618_180614</t>
  </si>
  <si>
    <t>C:\Users\c2466\Desktop\task_monitor\batch_real_nores_outputs\20260621_183749\comparison_gantt.png</t>
  </si>
  <si>
    <t>C:\Users\c2466\Desktop\task_monitor\batch_real_nores_outputs\20260621_183749</t>
  </si>
  <si>
    <t>C:\Users\c2466\Desktop\task_monitor\batch_real_nores_outputs\20260621_191117\comparison_gantt.png</t>
  </si>
  <si>
    <t>C:\Users\c2466\Desktop\task_monitor\batch_real_nores_outputs\20260621_191117</t>
  </si>
  <si>
    <t>C:\Users\c2466\Desktop\task_monitor\batch_real_nores_outputs\20260621_193635\comparison_gantt.png</t>
  </si>
  <si>
    <t>C:\Users\c2466\Desktop\task_monitor\batch_real_nores_outputs\20260621_193635</t>
  </si>
  <si>
    <t>C:\Users\c2466\Desktop\task_monitor\batch_real_nores_outputs\20260621_214951\comparison_gantt.png</t>
  </si>
  <si>
    <t>C:\Users\c2466\Desktop\task_monitor\batch_real_nores_outputs\20260621_214951</t>
  </si>
  <si>
    <t>C:\Users\c2466\Desktop\task_monitor\batch_real_nores_outputs\20260617_170735\comparison_gantt.png</t>
  </si>
  <si>
    <t>C:\Users\c2466\Desktop\task_monitor\batch_real_nores_outputs\20260617_170735</t>
  </si>
  <si>
    <t>C:\Users\c2466\Desktop\task_monitor\batch_real_nores_outputs\20260618_153713\comparison_gantt.png</t>
  </si>
  <si>
    <t>C:\Users\c2466\Desktop\task_monitor\batch_real_nores_outputs\20260618_153713</t>
  </si>
  <si>
    <t>C:\Users\c2466\Desktop\task_monitor\batch_real_nores_outputs\20260618_182902\comparison_gantt.png</t>
  </si>
  <si>
    <t>C:\Users\c2466\Desktop\task_monitor\batch_real_nores_outputs\20260618_182902</t>
  </si>
  <si>
    <t>C:\Users\c2466\Desktop\task_monitor\batch_real_nores_outputs\20260621_183301\comparison_gantt.png</t>
  </si>
  <si>
    <t>C:\Users\c2466\Desktop\task_monitor\batch_real_nores_outputs\20260621_183301</t>
  </si>
  <si>
    <t>C:\Users\c2466\Desktop\task_monitor\batch_real_nores_outputs\20260621_221335\comparison_gantt.png</t>
  </si>
  <si>
    <t>C:\Users\c2466\Desktop\task_monitor\batch_real_nores_outputs\20260621_221335</t>
  </si>
  <si>
    <t>C:\Users\c2466\Desktop\task_monitor\batch_real_nores_outputs\20260621_221747\comparison_gantt.png</t>
  </si>
  <si>
    <t>C:\Users\c2466\Desktop\task_monitor\batch_real_nores_outputs\20260621_221747</t>
  </si>
  <si>
    <t>C:\Users\c2466\Desktop\task_monitor\batch_real_nores_outputs\20260621_223136\comparison_gantt.png</t>
  </si>
  <si>
    <t>C:\Users\c2466\Desktop\task_monitor\batch_real_nores_outputs\20260621_223136</t>
  </si>
  <si>
    <t>C:\Users\c2466\Desktop\task_monitor\batch_real_nores_outputs\20260621_223602\comparison_gantt.png</t>
  </si>
  <si>
    <t>C:\Users\c2466\Desktop\task_monitor\batch_real_nores_outputs\20260621_223602</t>
  </si>
  <si>
    <t>C:\Users\c2466\Desktop\task_monitor\batch_real_nores_outputs\20260617_163852\comparison_gantt.png</t>
  </si>
  <si>
    <t>C:\Users\c2466\Desktop\task_monitor\batch_real_nores_outputs\20260617_163852</t>
  </si>
  <si>
    <t>C:\Users\c2466\Desktop\task_monitor\batch_real_nores_outputs\20260617_224555\comparison_gantt.png</t>
  </si>
  <si>
    <t>C:\Users\c2466\Desktop\task_monitor\batch_real_nores_outputs\20260617_224555</t>
  </si>
  <si>
    <t>C:\Users\c2466\Desktop\task_monitor\batch_real_nores_outputs\20260618_144802\comparison_gantt.png</t>
  </si>
  <si>
    <t>C:\Users\c2466\Desktop\task_monitor\batch_real_nores_outputs\20260618_144802</t>
  </si>
  <si>
    <t>C:\Users\c2466\Desktop\task_monitor\batch_real_nores_outputs\20260618_145303\comparison_gantt.png</t>
  </si>
  <si>
    <t>C:\Users\c2466\Desktop\task_monitor\batch_real_nores_outputs\20260618_145303</t>
  </si>
  <si>
    <t>C:\Users\c2466\Desktop\task_monitor\batch_real_nores_outputs\20260618_155540\comparison_gantt.png</t>
  </si>
  <si>
    <t>C:\Users\c2466\Desktop\task_monitor\batch_real_nores_outputs\20260618_155540</t>
  </si>
  <si>
    <t>C:\Users\c2466\Desktop\task_monitor\batch_real_nores_outputs\20260618_174248\comparison_gantt.png</t>
  </si>
  <si>
    <t>C:\Users\c2466\Desktop\task_monitor\batch_real_nores_outputs\20260618_174248</t>
  </si>
  <si>
    <t>C:\Users\c2466\Desktop\task_monitor\batch_real_nores_outputs\20260621_173643\comparison_gantt.png</t>
  </si>
  <si>
    <t>C:\Users\c2466\Desktop\task_monitor\batch_real_nores_outputs\20260621_173643</t>
  </si>
  <si>
    <t>C:\Users\c2466\Desktop\task_monitor\batch_real_nores_outputs\20260621_213147\comparison_gantt.png</t>
  </si>
  <si>
    <t>C:\Users\c2466\Desktop\task_monitor\batch_real_nores_outputs\20260621_213147</t>
  </si>
  <si>
    <t>C:\Users\c2466\Desktop\task_monitor\batch_real_nores_outputs\20260621_214416\comparison_gantt.png</t>
  </si>
  <si>
    <t>C:\Users\c2466\Desktop\task_monitor\batch_real_nores_outputs\20260621_214416</t>
  </si>
  <si>
    <t>C:\Users\c2466\Desktop\task_monitor\batch_real_nores_outputs\20260617_221608\comparison_gantt.png</t>
  </si>
  <si>
    <t>C:\Users\c2466\Desktop\task_monitor\batch_real_nores_outputs\20260617_221608</t>
  </si>
  <si>
    <t>C:\Users\c2466\Desktop\task_monitor\batch_real_nores_outputs\20260617_230214\comparison_gantt.png</t>
  </si>
  <si>
    <t>C:\Users\c2466\Desktop\task_monitor\batch_real_nores_outputs\20260617_230214</t>
  </si>
  <si>
    <t>C:\Users\c2466\Desktop\task_monitor\batch_real_nores_outputs\20260618_183455\comparison_gantt.png</t>
  </si>
  <si>
    <t>C:\Users\c2466\Desktop\task_monitor\batch_real_nores_outputs\20260618_183455</t>
  </si>
  <si>
    <t>C:\Users\c2466\Desktop\task_monitor\batch_real_nores_outputs\20260621_220936\comparison_gantt.png</t>
  </si>
  <si>
    <t>C:\Users\c2466\Desktop\task_monitor\batch_real_nores_outputs\20260621_220936</t>
  </si>
  <si>
    <t>C:\Users\c2466\Desktop\task_monitor\batch_real_nores_outputs\20260616_163957\comparison_gantt.png</t>
  </si>
  <si>
    <t>C:\Users\c2466\Desktop\task_monitor\batch_real_nores_outputs\20260616_163957</t>
  </si>
  <si>
    <t>C:\Users\c2466\Desktop\task_monitor\batch_real_nores_outputs\20260618_154903\comparison_gantt.png</t>
  </si>
  <si>
    <t>C:\Users\c2466\Desktop\task_monitor\batch_real_nores_outputs\20260618_154903</t>
  </si>
  <si>
    <t>C:\Users\c2466\Desktop\task_monitor\batch_real_nores_outputs\20260616_165213\comparison_gantt.png</t>
  </si>
  <si>
    <t>C:\Users\c2466\Desktop\task_monitor\batch_real_nores_outputs\20260616_165213</t>
  </si>
  <si>
    <t>C:\Users\c2466\Desktop\task_monitor\batch_real_nores_outputs\20260617_163225\comparison_gantt.png</t>
  </si>
  <si>
    <t>C:\Users\c2466\Desktop\task_monitor\batch_real_nores_outputs\20260617_163225</t>
  </si>
  <si>
    <t>C:\Users\c2466\Desktop\task_monitor\batch_real_nores_outputs\20260617_221043\comparison_gantt.png</t>
  </si>
  <si>
    <t>C:\Users\c2466\Desktop\task_monitor\batch_real_nores_outputs\20260617_221043</t>
  </si>
  <si>
    <t>C:\Users\c2466\Desktop\task_monitor\batch_real_nores_outputs\20260621_174800\comparison_gantt.png</t>
  </si>
  <si>
    <t>C:\Users\c2466\Desktop\task_monitor\batch_real_nores_outputs\20260621_174800</t>
  </si>
  <si>
    <t>C:\Users\c2466\Desktop\task_monitor\batch_real_nores_outputs\20260621_220456\comparison_gantt.png</t>
  </si>
  <si>
    <t>C:\Users\c2466\Desktop\task_monitor\batch_real_nores_outputs\20260621_220456</t>
  </si>
  <si>
    <t>C:\Users\c2466\Desktop\task_monitor\batch_real_nores_outputs\20260617_162610\comparison_gantt.png</t>
  </si>
  <si>
    <t>C:\Users\c2466\Desktop\task_monitor\batch_real_nores_outputs\20260617_162610</t>
  </si>
  <si>
    <t>C:\Users\c2466\Desktop\task_monitor\batch_real_nores_outputs\20260617_223549\comparison_gantt.png</t>
  </si>
  <si>
    <t>C:\Users\c2466\Desktop\task_monitor\batch_real_nores_outputs\20260617_223549</t>
  </si>
  <si>
    <t>C:\Users\c2466\Desktop\task_monitor\batch_real_nores_outputs\20260617_225121\comparison_gantt.png</t>
  </si>
  <si>
    <t>C:\Users\c2466\Desktop\task_monitor\batch_real_nores_outputs\20260617_225121</t>
  </si>
  <si>
    <t>C:\Users\c2466\Desktop\task_monitor\batch_real_nores_outputs\20260618_150321\comparison_gantt.png</t>
  </si>
  <si>
    <t>C:\Users\c2466\Desktop\task_monitor\batch_real_nores_outputs\20260618_150321</t>
  </si>
  <si>
    <t>C:\Users\c2466\Desktop\task_monitor\batch_real_nores_outputs\20260618_153051\comparison_gantt.png</t>
  </si>
  <si>
    <t>C:\Users\c2466\Desktop\task_monitor\batch_real_nores_outputs\20260618_153051</t>
  </si>
  <si>
    <t>C:\Users\c2466\Desktop\task_monitor\batch_real_nores_outputs\20260618_171939\comparison_gantt.png</t>
  </si>
  <si>
    <t>C:\Users\c2466\Desktop\task_monitor\batch_real_nores_outputs\20260618_171939</t>
  </si>
  <si>
    <t>C:\Users\c2466\Desktop\task_monitor\batch_real_nores_outputs\20260618_172550\comparison_gantt.png</t>
  </si>
  <si>
    <t>C:\Users\c2466\Desktop\task_monitor\batch_real_nores_outputs\20260618_172550</t>
  </si>
  <si>
    <t>C:\Users\c2466\Desktop\task_monitor\batch_real_nores_outputs\20260621_180040\comparison_gantt.png</t>
  </si>
  <si>
    <t>C:\Users\c2466\Desktop\task_monitor\batch_real_nores_outputs\20260621_180040</t>
  </si>
  <si>
    <t>C:\Users\c2466\Desktop\task_monitor\batch_real_nores_outputs\20260617_161127\comparison_gantt.png</t>
  </si>
  <si>
    <t>C:\Users\c2466\Desktop\task_monitor\batch_real_nores_outputs\20260617_161127</t>
  </si>
  <si>
    <t>C:\Users\c2466\Desktop\task_monitor\batch_real_nores_outputs\20260618_173434\comparison_gantt.png</t>
  </si>
  <si>
    <t>C:\Users\c2466\Desktop\task_monitor\batch_real_nores_outputs\20260618_173434</t>
  </si>
  <si>
    <t>C:\Users\c2466\Desktop\task_monitor\batch_real_nores_outputs\20260617_214847\comparison_gantt.png</t>
  </si>
  <si>
    <t>C:\Users\c2466\Desktop\task_monitor\batch_real_nores_outputs\20260617_214847</t>
  </si>
  <si>
    <t>C:\Users\c2466\Desktop\task_monitor\batch_real_nores_outputs\20260617_222235\comparison_gantt.png</t>
  </si>
  <si>
    <t>C:\Users\c2466\Desktop\task_monitor\batch_real_nores_outputs\20260617_222235</t>
  </si>
  <si>
    <t>C:\Users\c2466\Desktop\task_monitor\batch_real_nores_outputs\20260617_215539\comparison_gantt.png</t>
  </si>
  <si>
    <t>C:\Users\c2466\Desktop\task_monitor\batch_real_nores_outputs\20260617_215539</t>
  </si>
  <si>
    <t>C:\Users\c2466\Desktop\task_monitor\batch_real_nores_outputs\20260617_220342\comparison_gantt.png</t>
  </si>
  <si>
    <t>C:\Users\c2466\Desktop\task_monitor\batch_real_nores_outputs\20260617_220342</t>
  </si>
  <si>
    <t>final_dynamic_makespan</t>
    <phoneticPr fontId="18" type="noConversion"/>
  </si>
  <si>
    <t>nores_final_better</t>
    <phoneticPr fontId="18" type="noConversion"/>
  </si>
  <si>
    <t>失效任務個數</t>
  </si>
  <si>
    <t>失效次數</t>
  </si>
  <si>
    <t>caseID</t>
  </si>
  <si>
    <t>failure_count_group</t>
  </si>
  <si>
    <t>計數 - caseID</t>
  </si>
  <si>
    <t>3-</t>
  </si>
  <si>
    <t>4+</t>
  </si>
  <si>
    <t>failed_task_count_group</t>
    <phoneticPr fontId="18" type="noConversion"/>
  </si>
  <si>
    <t>8-11</t>
  </si>
  <si>
    <t>3-4</t>
  </si>
  <si>
    <t>standardized_effect_rate</t>
  </si>
  <si>
    <t>effect_valid_5pct</t>
  </si>
  <si>
    <t>dynamic_effective_5pct</t>
  </si>
  <si>
    <t>1-2</t>
  </si>
  <si>
    <t>12+</t>
  </si>
  <si>
    <t>5-7</t>
  </si>
  <si>
    <t>human_idle_nores</t>
  </si>
  <si>
    <t>human_idle_nores_ratio</t>
  </si>
  <si>
    <t>human_idle_dynamic</t>
  </si>
  <si>
    <t>human_idle_dynamic_ratio</t>
  </si>
  <si>
    <t>human_idle_ratio_diff_nores_minus_dynamic</t>
  </si>
  <si>
    <t>human_nores_idle_ratio_higher</t>
  </si>
  <si>
    <t>robot_idle_nores</t>
  </si>
  <si>
    <t>robot_idle_nores_ratio</t>
  </si>
  <si>
    <t>robot_idle_dynamic</t>
  </si>
  <si>
    <t>robot_idle_dynamic_ratio</t>
  </si>
  <si>
    <t>robot_idle_ratio_diff_nores_minus_dynamic</t>
  </si>
  <si>
    <t>robot_nores_idle_ratio_higher</t>
  </si>
  <si>
    <t/>
  </si>
  <si>
    <t>Dynamic makespna較佳比例</t>
  </si>
  <si>
    <t>Dynamic makespan較佳比例</t>
  </si>
  <si>
    <t>Dynamic 等待時間較佳比例</t>
  </si>
  <si>
    <t>robot_nores_idle_ratio_higher</t>
    <phoneticPr fontId="18" type="noConversion"/>
  </si>
  <si>
    <t>robot_nores_idle_ratio_higher_5pct</t>
    <phoneticPr fontId="18" type="noConversion"/>
  </si>
  <si>
    <t>Dynamic 等待時間較佳比例(&gt;=5%)</t>
  </si>
  <si>
    <t xml:space="preserve">caseID </t>
  </si>
  <si>
    <t>Nores human等待時間較佳比例</t>
  </si>
  <si>
    <t>Dynamic robot等待時間較佳比例</t>
  </si>
  <si>
    <t>Dynamic robot等待時間較佳比例(&gt;=5%)</t>
  </si>
  <si>
    <t>failure_count_group2</t>
    <phoneticPr fontId="18" type="noConversion"/>
  </si>
  <si>
    <t>failed_task_count_group2</t>
    <phoneticPr fontId="18" type="noConversion"/>
  </si>
  <si>
    <t>dynamic_final_better</t>
    <phoneticPr fontId="18" type="noConversion"/>
  </si>
  <si>
    <t>dynamic_better_effect_maksspan</t>
    <phoneticPr fontId="18" type="noConversion"/>
  </si>
  <si>
    <t>nores_better_effect_makespan</t>
    <phoneticPr fontId="18" type="noConversion"/>
  </si>
  <si>
    <t>robot_nores_idle_ratio_higher_effect</t>
    <phoneticPr fontId="18" type="noConversion"/>
  </si>
  <si>
    <t>human_nores_idle_ratio_higher2</t>
    <phoneticPr fontId="18" type="noConversion"/>
  </si>
  <si>
    <t>robot_dynamic_idle_ratio_higher_effect</t>
    <phoneticPr fontId="18" type="noConversion"/>
  </si>
  <si>
    <t>human_nores_idle_ratio_higher_effect</t>
    <phoneticPr fontId="18" type="noConversion"/>
  </si>
  <si>
    <t>human_nores_idle_ratio_higher5pct</t>
    <phoneticPr fontId="18" type="noConversion"/>
  </si>
  <si>
    <t>平均值 - dynamic_effective_5pct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</si>
</sst>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2" fontId="0" fillId="0" borderId="0" xfId="0" applyNumberFormat="1">
      <alignment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" fontId="6" fillId="2" borderId="0" xfId="0" applyNumberFormat="1" applyFont="1" applyFill="1">
      <alignment vertical="center"/>
    </xf>
    <xf numFmtId="0" fontId="6" fillId="2" borderId="0" xfId="6">
      <alignment vertical="center"/>
    </xf>
    <xf numFmtId="0" fontId="16" fillId="33" borderId="0" xfId="0" applyFont="1" applyFill="1" applyAlignment="1">
      <alignment horizontal="center" vertical="center"/>
    </xf>
    <xf numFmtId="2" fontId="8" fillId="4" borderId="0" xfId="0" applyNumberFormat="1" applyFont="1" applyFill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0" fontId="8" fillId="4" borderId="0" xfId="8">
      <alignment vertical="center"/>
    </xf>
    <xf numFmtId="0" fontId="8" fillId="4" borderId="0" xfId="8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424">
    <dxf>
      <numFmt numFmtId="176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176" formatCode="0.000"/>
    </dxf>
    <dxf>
      <numFmt numFmtId="181" formatCode="0.00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181" formatCode="0.0000"/>
    </dxf>
    <dxf>
      <numFmt numFmtId="180" formatCode="0.000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180" formatCode="0.00000"/>
    </dxf>
    <dxf>
      <numFmt numFmtId="179" formatCode="0.0000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179" formatCode="0.000000"/>
    </dxf>
    <dxf>
      <numFmt numFmtId="178" formatCode="0.00000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178" formatCode="0.0000000"/>
    </dxf>
    <dxf>
      <numFmt numFmtId="177" formatCode="0.000000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177" formatCode="0.000000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176" formatCode="0.0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176" formatCode="0.000"/>
    </dxf>
    <dxf>
      <numFmt numFmtId="181" formatCode="0.00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181" formatCode="0.0000"/>
    </dxf>
    <dxf>
      <numFmt numFmtId="180" formatCode="0.000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180" formatCode="0.00000"/>
    </dxf>
    <dxf>
      <numFmt numFmtId="179" formatCode="0.0000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179" formatCode="0.000000"/>
    </dxf>
    <dxf>
      <numFmt numFmtId="178" formatCode="0.00000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178" formatCode="0.0000000"/>
    </dxf>
    <dxf>
      <numFmt numFmtId="177" formatCode="0.000000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177" formatCode="0.000000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176" formatCode="0.0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176" formatCode="0.000"/>
    </dxf>
    <dxf>
      <numFmt numFmtId="181" formatCode="0.00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181" formatCode="0.0000"/>
    </dxf>
    <dxf>
      <numFmt numFmtId="180" formatCode="0.000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180" formatCode="0.00000"/>
    </dxf>
    <dxf>
      <numFmt numFmtId="179" formatCode="0.0000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179" formatCode="0.000000"/>
    </dxf>
    <dxf>
      <numFmt numFmtId="178" formatCode="0.00000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178" formatCode="0.0000000"/>
    </dxf>
    <dxf>
      <numFmt numFmtId="177" formatCode="0.000000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177" formatCode="0.000000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新細明體"/>
        <family val="2"/>
        <charset val="136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新細明體"/>
        <family val="2"/>
        <charset val="136"/>
        <scheme val="minor"/>
      </font>
      <fill>
        <patternFill patternType="solid">
          <fgColor indexed="65"/>
          <bgColor rgb="FFFFEB9C"/>
        </patternFill>
      </fill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zh-TW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新細明體" panose="02020500000000000000" pitchFamily="18" charset="-120"/>
              </a:rPr>
              <a:t>機等人時間差異</a:t>
            </a:r>
            <a:endParaRPr lang="en-US" altLang="zh-TW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新細明體" panose="02020500000000000000" pitchFamily="18" charset="-120"/>
            </a:endParaRPr>
          </a:p>
        </cx:rich>
      </cx:tx>
    </cx:title>
    <cx:plotArea>
      <cx:plotAreaRegion>
        <cx:series layoutId="clusteredColumn" uniqueId="{00000000-62BC-48ED-8E53-27D638B4322D}">
          <cx:dataId val="0"/>
          <cx:layoutPr>
            <cx:binning intervalClosed="r"/>
          </cx:layoutPr>
        </cx:series>
      </cx:plotAreaRegion>
      <cx:axis id="0">
        <cx:catScaling gapWidth="0.400000006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altLang="zh-TW" sz="1400" b="0" i="0" baseline="0">
                <a:effectLst/>
              </a:rPr>
              <a:t>makespan</a:t>
            </a:r>
            <a:r>
              <a:rPr lang="zh-TW" altLang="zh-TW" sz="1400" b="0" i="0" baseline="0">
                <a:effectLst/>
              </a:rPr>
              <a:t>差異</a:t>
            </a:r>
            <a:endParaRPr lang="zh-TW" altLang="zh-TW" sz="1100">
              <a:effectLst/>
            </a:endParaRPr>
          </a:p>
        </cx:rich>
      </cx:tx>
    </cx:title>
    <cx:plotArea>
      <cx:plotAreaRegion>
        <cx:series layoutId="clusteredColumn" uniqueId="{00000001-1DE4-43F6-9496-8F55A35FB4D9}">
          <cx:dataId val="0"/>
          <cx:layoutPr>
            <cx:binning intervalClosed="r">
              <cx:binSize val="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81</xdr:row>
      <xdr:rowOff>176212</xdr:rowOff>
    </xdr:from>
    <xdr:to>
      <xdr:col>12</xdr:col>
      <xdr:colOff>1266825</xdr:colOff>
      <xdr:row>94</xdr:row>
      <xdr:rowOff>195262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圖表 1">
              <a:extLst>
                <a:ext uri="{FF2B5EF4-FFF2-40B4-BE49-F238E27FC236}">
                  <a16:creationId xmlns:a16="http://schemas.microsoft.com/office/drawing/2014/main" id="{F8C6858A-9933-D8FB-8774-208B07829D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20025" y="171497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1581150</xdr:colOff>
      <xdr:row>78</xdr:row>
      <xdr:rowOff>100011</xdr:rowOff>
    </xdr:from>
    <xdr:to>
      <xdr:col>7</xdr:col>
      <xdr:colOff>781050</xdr:colOff>
      <xdr:row>95</xdr:row>
      <xdr:rowOff>123824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圖表 1">
              <a:extLst>
                <a:ext uri="{FF2B5EF4-FFF2-40B4-BE49-F238E27FC236}">
                  <a16:creationId xmlns:a16="http://schemas.microsoft.com/office/drawing/2014/main" id="{4B83A226-10E3-7BA2-D99F-B9214FB1B1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5700" y="16444911"/>
              <a:ext cx="5543550" cy="35861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iXuan Pan" refreshedDate="46198.042382060186" createdVersion="8" refreshedVersion="8" minRefreshableVersion="3" recordCount="71" xr:uid="{252DF927-4657-4CC3-93D9-0905DA119565}">
  <cacheSource type="worksheet">
    <worksheetSource ref="A1:S72" sheet="group_data"/>
  </cacheSource>
  <cacheFields count="19">
    <cacheField name="caseID" numFmtId="0">
      <sharedItems/>
    </cacheField>
    <cacheField name="失效次數" numFmtId="0">
      <sharedItems containsSemiMixedTypes="0" containsString="0" containsNumber="1" containsInteger="1" minValue="1" maxValue="27"/>
    </cacheField>
    <cacheField name="失效任務個數" numFmtId="0">
      <sharedItems containsSemiMixedTypes="0" containsString="0" containsNumber="1" containsInteger="1" minValue="1" maxValue="11"/>
    </cacheField>
    <cacheField name="final_nores_makespan" numFmtId="2">
      <sharedItems containsSemiMixedTypes="0" containsString="0" containsNumber="1" minValue="67.709999999999994" maxValue="169.91919999999999"/>
    </cacheField>
    <cacheField name="final_dynamic_makespan" numFmtId="0">
      <sharedItems containsSemiMixedTypes="0" containsString="0" containsNumber="1" minValue="63.33" maxValue="166.98"/>
    </cacheField>
    <cacheField name="final_nores_minus_dynamic" numFmtId="2">
      <sharedItems containsSemiMixedTypes="0" containsString="0" containsNumber="1" minValue="-6.7922000000000002" maxValue="11.1716"/>
    </cacheField>
    <cacheField name="dynamic_final_better" numFmtId="0">
      <sharedItems containsSemiMixedTypes="0" containsString="0" containsNumber="1" containsInteger="1" minValue="0" maxValue="1"/>
    </cacheField>
    <cacheField name="nores_final_better" numFmtId="0">
      <sharedItems containsSemiMixedTypes="0" containsString="0" containsNumber="1" containsInteger="1" minValue="0" maxValue="1"/>
    </cacheField>
    <cacheField name="tie" numFmtId="0">
      <sharedItems containsSemiMixedTypes="0" containsString="0" containsNumber="1" containsInteger="1" minValue="0" maxValue="0"/>
    </cacheField>
    <cacheField name="standardized_effect_rate" numFmtId="176">
      <sharedItems containsSemiMixedTypes="0" containsString="0" containsNumber="1" minValue="5.0268672827665761E-5" maxValue="0.11695365236763203"/>
    </cacheField>
    <cacheField name="effect_valid_5pct" numFmtId="0">
      <sharedItems containsSemiMixedTypes="0" containsString="0" containsNumber="1" containsInteger="1" minValue="0" maxValue="1"/>
    </cacheField>
    <cacheField name="dynamic_effective_5pct" numFmtId="0">
      <sharedItems containsSemiMixedTypes="0" containsString="0" containsNumber="1" containsInteger="1" minValue="0" maxValue="1"/>
    </cacheField>
    <cacheField name="human_nores_idle_ratio_higher" numFmtId="0">
      <sharedItems containsSemiMixedTypes="0" containsString="0" containsNumber="1" containsInteger="1" minValue="0" maxValue="1"/>
    </cacheField>
    <cacheField name="robot_nores_idle_ratio_higher" numFmtId="0">
      <sharedItems containsSemiMixedTypes="0" containsString="0" containsNumber="1" containsInteger="1" minValue="0" maxValue="1"/>
    </cacheField>
    <cacheField name="robot_nores_idle_ratio_higher_5pct" numFmtId="0">
      <sharedItems containsSemiMixedTypes="0" containsString="0" containsNumber="1" containsInteger="1" minValue="0" maxValue="1"/>
    </cacheField>
    <cacheField name="failure_count_group" numFmtId="0">
      <sharedItems count="5">
        <s v="1-2"/>
        <s v="3-4"/>
        <s v="5-7"/>
        <s v="8-11"/>
        <s v="12+"/>
      </sharedItems>
    </cacheField>
    <cacheField name="failure_count_group2" numFmtId="0">
      <sharedItems containsMixedTypes="1" containsNumber="1" containsInteger="1" minValue="1" maxValue="11" count="13">
        <n v="1"/>
        <n v="2"/>
        <n v="3"/>
        <n v="4"/>
        <n v="5"/>
        <n v="6"/>
        <n v="7"/>
        <n v="8"/>
        <n v="9"/>
        <n v="10"/>
        <n v="11"/>
        <s v="12-19"/>
        <s v="20+"/>
      </sharedItems>
    </cacheField>
    <cacheField name="failed_task_count_group" numFmtId="0">
      <sharedItems count="2">
        <s v="3-"/>
        <s v="4+"/>
      </sharedItems>
    </cacheField>
    <cacheField name="failed_task_count_group2" numFmtId="0">
      <sharedItems containsMixedTypes="1" containsNumber="1" containsInteger="1" minValue="1" maxValue="7" count="8">
        <n v="1"/>
        <n v="2"/>
        <n v="3"/>
        <n v="4"/>
        <n v="5"/>
        <n v="7"/>
        <n v="6"/>
        <s v="8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iXuan Pan" refreshedDate="46244.606881712964" backgroundQuery="1" createdVersion="8" refreshedVersion="8" minRefreshableVersion="3" recordCount="0" supportSubquery="1" supportAdvancedDrill="1" xr:uid="{0BBAA45C-0BCA-4E26-BD3C-5A1CD862133F}">
  <cacheSource type="external" connectionId="1"/>
  <cacheFields count="3">
    <cacheField name="[範圍].[case_id].[case_id]" caption="case_id" numFmtId="0" level="1">
      <sharedItems count="71">
        <s v="20260616_163957"/>
        <s v="20260616_165213"/>
        <s v="20260617_161127"/>
        <s v="20260617_161833"/>
        <s v="20260617_162610"/>
        <s v="20260617_163225"/>
        <s v="20260617_163852"/>
        <s v="20260617_164554"/>
        <s v="20260617_165310"/>
        <s v="20260617_170056"/>
        <s v="20260617_170735"/>
        <s v="20260617_214847"/>
        <s v="20260617_215539"/>
        <s v="20260617_220342"/>
        <s v="20260617_221043"/>
        <s v="20260617_221608"/>
        <s v="20260617_222235"/>
        <s v="20260617_223549"/>
        <s v="20260617_224021"/>
        <s v="20260617_224555"/>
        <s v="20260617_225121"/>
        <s v="20260617_225645"/>
        <s v="20260617_230214"/>
        <s v="20260618_143804"/>
        <s v="20260618_144336"/>
        <s v="20260618_144802"/>
        <s v="20260618_145303"/>
        <s v="20260618_150321"/>
        <s v="20260618_150754"/>
        <s v="20260618_153051"/>
        <s v="20260618_153713"/>
        <s v="20260618_154903"/>
        <s v="20260618_155540"/>
        <s v="20260618_171939"/>
        <s v="20260618_172550"/>
        <s v="20260618_173434"/>
        <s v="20260618_174248"/>
        <s v="20260618_175053"/>
        <s v="20260618_175805"/>
        <s v="20260618_180614"/>
        <s v="20260618_182135"/>
        <s v="20260618_182902"/>
        <s v="20260618_183455"/>
        <s v="20260621_170757"/>
        <s v="20260621_171234"/>
        <s v="20260621_171649"/>
        <s v="20260621_172604"/>
        <s v="20260621_173643"/>
        <s v="20260621_174256"/>
        <s v="20260621_174800"/>
        <s v="20260621_180040"/>
        <s v="20260621_183301"/>
        <s v="20260621_183749"/>
        <s v="20260621_184824"/>
        <s v="20260621_185411"/>
        <s v="20260621_191117"/>
        <s v="20260621_191926"/>
        <s v="20260621_192651"/>
        <s v="20260621_193635"/>
        <s v="20260621_212643"/>
        <s v="20260621_213147"/>
        <s v="20260621_214416"/>
        <s v="20260621_214951"/>
        <s v="20260621_220456"/>
        <s v="20260621_220936"/>
        <s v="20260621_221335"/>
        <s v="20260621_221747"/>
        <s v="20260621_222241"/>
        <s v="20260621_222707"/>
        <s v="20260621_223136"/>
        <s v="20260621_223602"/>
      </sharedItems>
    </cacheField>
    <cacheField name="[Measures].[以下資料的項目個數: step_idx]" caption="以下資料的項目個數: step_idx" numFmtId="0" hierarchy="28" level="32767"/>
    <cacheField name="[Measures].[以下資料的相異計數: target_task]" caption="以下資料的相異計數: target_task" numFmtId="0" hierarchy="27" level="32767"/>
  </cacheFields>
  <cacheHierarchies count="29">
    <cacheHierarchy uniqueName="[範圍].[case_id]" caption="case_id" attribute="1" defaultMemberUniqueName="[範圍].[case_id].[All]" allUniqueName="[範圍].[case_id].[All]" dimensionUniqueName="[範圍]" displayFolder="" count="2" memberValueDatatype="130" unbalanced="0">
      <fieldsUsage count="2">
        <fieldUsage x="-1"/>
        <fieldUsage x="0"/>
      </fieldsUsage>
    </cacheHierarchy>
    <cacheHierarchy uniqueName="[範圍].[step_idx]" caption="step_idx" attribute="1" defaultMemberUniqueName="[範圍].[step_idx].[All]" allUniqueName="[範圍].[step_idx].[All]" dimensionUniqueName="[範圍]" displayFolder="" count="0" memberValueDatatype="20" unbalanced="0"/>
    <cacheHierarchy uniqueName="[範圍].[failure_type]" caption="failure_type" attribute="1" defaultMemberUniqueName="[範圍].[failure_type].[All]" allUniqueName="[範圍].[failure_type].[All]" dimensionUniqueName="[範圍]" displayFolder="" count="0" memberValueDatatype="130" unbalanced="0"/>
    <cacheHierarchy uniqueName="[範圍].[decision_time]" caption="decision_time" attribute="1" defaultMemberUniqueName="[範圍].[decision_time].[All]" allUniqueName="[範圍].[decision_time].[All]" dimensionUniqueName="[範圍]" displayFolder="" count="0" memberValueDatatype="5" unbalanced="0"/>
    <cacheHierarchy uniqueName="[範圍].[csv_delay_time]" caption="csv_delay_time" attribute="1" defaultMemberUniqueName="[範圍].[csv_delay_time].[All]" allUniqueName="[範圍].[csv_delay_time].[All]" dimensionUniqueName="[範圍]" displayFolder="" count="0" memberValueDatatype="5" unbalanced="0"/>
    <cacheHierarchy uniqueName="[範圍].[actual_incremental_delay]" caption="actual_incremental_delay" attribute="1" defaultMemberUniqueName="[範圍].[actual_incremental_delay].[All]" allUniqueName="[範圍].[actual_incremental_delay].[All]" dimensionUniqueName="[範圍]" displayFolder="" count="0" memberValueDatatype="5" unbalanced="0"/>
    <cacheHierarchy uniqueName="[範圍].[applied_nores_delay]" caption="applied_nores_delay" attribute="1" defaultMemberUniqueName="[範圍].[applied_nores_delay].[All]" allUniqueName="[範圍].[applied_nores_delay].[All]" dimensionUniqueName="[範圍]" displayFolder="" count="0" memberValueDatatype="5" unbalanced="0"/>
    <cacheHierarchy uniqueName="[範圍].[delay_source]" caption="delay_source" attribute="1" defaultMemberUniqueName="[範圍].[delay_source].[All]" allUniqueName="[範圍].[delay_source].[All]" dimensionUniqueName="[範圍]" displayFolder="" count="0" memberValueDatatype="130" unbalanced="0"/>
    <cacheHierarchy uniqueName="[範圍].[nores_makespan]" caption="nores_makespan" attribute="1" defaultMemberUniqueName="[範圍].[nores_makespan].[All]" allUniqueName="[範圍].[nores_makespan].[All]" dimensionUniqueName="[範圍]" displayFolder="" count="0" memberValueDatatype="5" unbalanced="0"/>
    <cacheHierarchy uniqueName="[範圍].[dynamic_makespan_after_event]" caption="dynamic_makespan_after_event" attribute="1" defaultMemberUniqueName="[範圍].[dynamic_makespan_after_event].[All]" allUniqueName="[範圍].[dynamic_makespan_after_event].[All]" dimensionUniqueName="[範圍]" displayFolder="" count="0" memberValueDatatype="5" unbalanced="0"/>
    <cacheHierarchy uniqueName="[範圍].[nores_minus_dynamic]" caption="nores_minus_dynamic" attribute="1" defaultMemberUniqueName="[範圍].[nores_minus_dynamic].[All]" allUniqueName="[範圍].[nores_minus_dynamic].[All]" dimensionUniqueName="[範圍]" displayFolder="" count="0" memberValueDatatype="5" unbalanced="0"/>
    <cacheHierarchy uniqueName="[範圍].[target_task]" caption="target_task" attribute="1" defaultMemberUniqueName="[範圍].[target_task].[All]" allUniqueName="[範圍].[target_task].[All]" dimensionUniqueName="[範圍]" displayFolder="" count="0" memberValueDatatype="20" unbalanced="0"/>
    <cacheHierarchy uniqueName="[範圍].[t1]" caption="t1" attribute="1" defaultMemberUniqueName="[範圍].[t1].[All]" allUniqueName="[範圍].[t1].[All]" dimensionUniqueName="[範圍]" displayFolder="" count="0" memberValueDatatype="20" unbalanced="0"/>
    <cacheHierarchy uniqueName="[範圍].[t2]" caption="t2" attribute="1" defaultMemberUniqueName="[範圍].[t2].[All]" allUniqueName="[範圍].[t2].[All]" dimensionUniqueName="[範圍]" displayFolder="" count="0" memberValueDatatype="20" unbalanced="0"/>
    <cacheHierarchy uniqueName="[範圍].[earlier_task]" caption="earlier_task" attribute="1" defaultMemberUniqueName="[範圍].[earlier_task].[All]" allUniqueName="[範圍].[earlier_task].[All]" dimensionUniqueName="[範圍]" displayFolder="" count="0" memberValueDatatype="20" unbalanced="0"/>
    <cacheHierarchy uniqueName="[範圍].[later_task]" caption="later_task" attribute="1" defaultMemberUniqueName="[範圍].[later_task].[All]" allUniqueName="[範圍].[later_task].[All]" dimensionUniqueName="[範圍]" displayFolder="" count="0" memberValueDatatype="20" unbalanced="0"/>
    <cacheHierarchy uniqueName="[範圍].[order_base_duration]" caption="order_base_duration" attribute="1" defaultMemberUniqueName="[範圍].[order_base_duration].[All]" allUniqueName="[範圍].[order_base_duration].[All]" dimensionUniqueName="[範圍]" displayFolder="" count="0" memberValueDatatype="5" unbalanced="0"/>
    <cacheHierarchy uniqueName="[範圍].[order_required_task_actual_duration]" caption="order_required_task_actual_duration" attribute="1" defaultMemberUniqueName="[範圍].[order_required_task_actual_duration].[All]" allUniqueName="[範圍].[order_required_task_actual_duration].[All]" dimensionUniqueName="[範圍]" displayFolder="" count="0" memberValueDatatype="5" unbalanced="0"/>
    <cacheHierarchy uniqueName="[範圍].[order_wrong_first_task_actual_duration]" caption="order_wrong_first_task_actual_duration" attribute="1" defaultMemberUniqueName="[範圍].[order_wrong_first_task_actual_duration].[All]" allUniqueName="[範圍].[order_wrong_first_task_actual_duration].[All]" dimensionUniqueName="[範圍]" displayFolder="" count="0" memberValueDatatype="5" unbalanced="0"/>
    <cacheHierarchy uniqueName="[範圍].[order_later_standard_duration]" caption="order_later_standard_duration" attribute="1" defaultMemberUniqueName="[範圍].[order_later_standard_duration].[All]" allUniqueName="[範圍].[order_later_standard_duration].[All]" dimensionUniqueName="[範圍]" displayFolder="" count="0" memberValueDatatype="5" unbalanced="0"/>
    <cacheHierarchy uniqueName="[範圍].[order_compensation_upper]" caption="order_compensation_upper" attribute="1" defaultMemberUniqueName="[範圍].[order_compensation_upper].[All]" allUniqueName="[範圍].[order_compensation_upper].[All]" dimensionUniqueName="[範圍]" displayFolder="" count="0" memberValueDatatype="5" unbalanced="0"/>
    <cacheHierarchy uniqueName="[範圍].[released_previous_delay]" caption="released_previous_delay" attribute="1" defaultMemberUniqueName="[範圍].[released_previous_delay].[All]" allUniqueName="[範圍].[released_previous_delay].[All]" dimensionUniqueName="[範圍]" displayFolder="" count="0" memberValueDatatype="5" unbalanced="0"/>
    <cacheHierarchy uniqueName="[範圍].[observed_order_extra_delay]" caption="observed_order_extra_delay" attribute="1" defaultMemberUniqueName="[範圍].[observed_order_extra_delay].[All]" allUniqueName="[範圍].[observed_order_extra_delay].[All]" dimensionUniqueName="[範圍]" displayFolder="" count="0" memberValueDatatype="5" unbalanced="0"/>
    <cacheHierarchy uniqueName="[Measures].[__XL_Count 範圍]" caption="__XL_Count 範圍" measure="1" displayFolder="" measureGroup="範圍" count="0" hidden="1"/>
    <cacheHierarchy uniqueName="[Measures].[__No measures defined]" caption="__No measures defined" measure="1" displayFolder="" count="0" hidden="1"/>
    <cacheHierarchy uniqueName="[Measures].[以下資料的總和: step_idx]" caption="以下資料的總和: step_idx" measure="1" displayFolder="" measureGroup="範圍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以下資料的總和: target_task]" caption="以下資料的總和: target_task" measure="1" displayFolder="" measureGroup="範圍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以下資料的相異計數: target_task]" caption="以下資料的相異計數: target_task" measure="1" displayFolder="" measureGroup="範圍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以下資料的項目個數: step_idx]" caption="以下資料的項目個數: step_idx" measure="1" displayFolder="" measureGroup="範圍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範圍" uniqueName="[範圍]" caption="範圍"/>
  </dimensions>
  <measureGroups count="1">
    <measureGroup name="範圍" caption="範圍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20260621_170757"/>
    <n v="1"/>
    <n v="1"/>
    <n v="67.849999999999994"/>
    <n v="65.349999999999994"/>
    <n v="2.5"/>
    <n v="1"/>
    <n v="0"/>
    <n v="0"/>
    <n v="3.6845983787767135E-2"/>
    <n v="0"/>
    <n v="0"/>
    <n v="1"/>
    <n v="1"/>
    <n v="0"/>
    <x v="0"/>
    <x v="0"/>
    <x v="0"/>
    <x v="0"/>
  </r>
  <r>
    <s v="20260621_222707"/>
    <n v="1"/>
    <n v="1"/>
    <n v="68.34"/>
    <n v="68.64"/>
    <n v="-0.3"/>
    <n v="0"/>
    <n v="1"/>
    <n v="0"/>
    <n v="4.389815627743634E-3"/>
    <n v="0"/>
    <n v="0"/>
    <n v="0"/>
    <n v="0"/>
    <n v="0"/>
    <x v="0"/>
    <x v="0"/>
    <x v="0"/>
    <x v="0"/>
  </r>
  <r>
    <s v="20260621_171234"/>
    <n v="1"/>
    <n v="1"/>
    <n v="67.930000000000007"/>
    <n v="65.52"/>
    <n v="2.41"/>
    <n v="1"/>
    <n v="0"/>
    <n v="0"/>
    <n v="3.5477697629913145E-2"/>
    <n v="0"/>
    <n v="0"/>
    <n v="1"/>
    <n v="1"/>
    <n v="0"/>
    <x v="0"/>
    <x v="0"/>
    <x v="0"/>
    <x v="0"/>
  </r>
  <r>
    <s v="20260621_171649"/>
    <n v="1"/>
    <n v="1"/>
    <n v="67.84"/>
    <n v="65.87"/>
    <n v="1.97"/>
    <n v="1"/>
    <n v="0"/>
    <n v="0"/>
    <n v="2.9038915094339621E-2"/>
    <n v="0"/>
    <n v="0"/>
    <n v="1"/>
    <n v="1"/>
    <n v="0"/>
    <x v="0"/>
    <x v="0"/>
    <x v="0"/>
    <x v="0"/>
  </r>
  <r>
    <s v="20260621_212643"/>
    <n v="1"/>
    <n v="1"/>
    <n v="67.849999999999994"/>
    <n v="66.56"/>
    <n v="1.29"/>
    <n v="1"/>
    <n v="0"/>
    <n v="0"/>
    <n v="1.9012527634487842E-2"/>
    <n v="0"/>
    <n v="0"/>
    <n v="1"/>
    <n v="1"/>
    <n v="0"/>
    <x v="0"/>
    <x v="0"/>
    <x v="0"/>
    <x v="0"/>
  </r>
  <r>
    <s v="20260621_172604"/>
    <n v="1"/>
    <n v="1"/>
    <n v="67.709999999999994"/>
    <n v="63.7"/>
    <n v="4.01"/>
    <n v="1"/>
    <n v="0"/>
    <n v="0"/>
    <n v="5.9223157583813323E-2"/>
    <n v="1"/>
    <n v="1"/>
    <n v="1"/>
    <n v="1"/>
    <n v="1"/>
    <x v="0"/>
    <x v="0"/>
    <x v="0"/>
    <x v="0"/>
  </r>
  <r>
    <s v="20260621_185411"/>
    <n v="1"/>
    <n v="1"/>
    <n v="68.34"/>
    <n v="67.650000000000006"/>
    <n v="0.69"/>
    <n v="1"/>
    <n v="0"/>
    <n v="0"/>
    <n v="1.0096575943810358E-2"/>
    <n v="0"/>
    <n v="0"/>
    <n v="0"/>
    <n v="1"/>
    <n v="0"/>
    <x v="0"/>
    <x v="0"/>
    <x v="0"/>
    <x v="0"/>
  </r>
  <r>
    <s v="20260618_175053"/>
    <n v="2"/>
    <n v="1"/>
    <n v="67.81"/>
    <n v="68.72"/>
    <n v="-0.91"/>
    <n v="0"/>
    <n v="1"/>
    <n v="0"/>
    <n v="1.3419849579708008E-2"/>
    <n v="0"/>
    <n v="0"/>
    <n v="0"/>
    <n v="0"/>
    <n v="0"/>
    <x v="0"/>
    <x v="1"/>
    <x v="0"/>
    <x v="0"/>
  </r>
  <r>
    <s v="20260621_174256"/>
    <n v="2"/>
    <n v="1"/>
    <n v="72.999200000000002"/>
    <n v="69.319999999999993"/>
    <n v="3.6791999999999998"/>
    <n v="1"/>
    <n v="0"/>
    <n v="0"/>
    <n v="5.0400552334820103E-2"/>
    <n v="1"/>
    <n v="1"/>
    <n v="0"/>
    <n v="1"/>
    <n v="0"/>
    <x v="0"/>
    <x v="1"/>
    <x v="0"/>
    <x v="0"/>
  </r>
  <r>
    <s v="20260621_184824"/>
    <n v="2"/>
    <n v="1"/>
    <n v="68.069999999999993"/>
    <n v="63.33"/>
    <n v="4.74"/>
    <n v="1"/>
    <n v="0"/>
    <n v="0"/>
    <n v="6.9634200088144568E-2"/>
    <n v="1"/>
    <n v="1"/>
    <n v="0"/>
    <n v="1"/>
    <n v="1"/>
    <x v="0"/>
    <x v="1"/>
    <x v="0"/>
    <x v="0"/>
  </r>
  <r>
    <s v="20260618_182135"/>
    <n v="2"/>
    <n v="2"/>
    <n v="68.3"/>
    <n v="69.099999999999994"/>
    <n v="-0.8"/>
    <n v="0"/>
    <n v="1"/>
    <n v="0"/>
    <n v="1.171303074670571E-2"/>
    <n v="0"/>
    <n v="0"/>
    <n v="0"/>
    <n v="0"/>
    <n v="0"/>
    <x v="0"/>
    <x v="1"/>
    <x v="0"/>
    <x v="1"/>
  </r>
  <r>
    <s v="20260617_170056"/>
    <n v="2"/>
    <n v="2"/>
    <n v="67.89"/>
    <n v="66.650000000000006"/>
    <n v="1.24"/>
    <n v="1"/>
    <n v="0"/>
    <n v="0"/>
    <n v="1.8264840182648401E-2"/>
    <n v="0"/>
    <n v="0"/>
    <n v="1"/>
    <n v="1"/>
    <n v="0"/>
    <x v="0"/>
    <x v="1"/>
    <x v="0"/>
    <x v="1"/>
  </r>
  <r>
    <s v="20260618_150754"/>
    <n v="2"/>
    <n v="1"/>
    <n v="68.39"/>
    <n v="68.430000000000007"/>
    <n v="-0.04"/>
    <n v="0"/>
    <n v="1"/>
    <n v="0"/>
    <n v="5.8488083053077932E-4"/>
    <n v="0"/>
    <n v="0"/>
    <n v="0"/>
    <n v="0"/>
    <n v="0"/>
    <x v="0"/>
    <x v="1"/>
    <x v="0"/>
    <x v="0"/>
  </r>
  <r>
    <s v="20260621_191926"/>
    <n v="2"/>
    <n v="2"/>
    <n v="71.260000000000005"/>
    <n v="70.47"/>
    <n v="0.79"/>
    <n v="1"/>
    <n v="0"/>
    <n v="0"/>
    <n v="1.1086163345495368E-2"/>
    <n v="0"/>
    <n v="0"/>
    <n v="0"/>
    <n v="0"/>
    <n v="0"/>
    <x v="0"/>
    <x v="1"/>
    <x v="0"/>
    <x v="1"/>
  </r>
  <r>
    <s v="20260617_165310"/>
    <n v="3"/>
    <n v="3"/>
    <n v="67.98"/>
    <n v="66.099999999999994"/>
    <n v="1.88"/>
    <n v="1"/>
    <n v="0"/>
    <n v="0"/>
    <n v="2.7655192703736391E-2"/>
    <n v="0"/>
    <n v="0"/>
    <n v="1"/>
    <n v="1"/>
    <n v="0"/>
    <x v="1"/>
    <x v="2"/>
    <x v="0"/>
    <x v="2"/>
  </r>
  <r>
    <s v="20260618_144336"/>
    <n v="3"/>
    <n v="2"/>
    <n v="68.09"/>
    <n v="65.14"/>
    <n v="2.95"/>
    <n v="1"/>
    <n v="0"/>
    <n v="0"/>
    <n v="4.3325011014833312E-2"/>
    <n v="0"/>
    <n v="0"/>
    <n v="0"/>
    <n v="1"/>
    <n v="0"/>
    <x v="1"/>
    <x v="2"/>
    <x v="0"/>
    <x v="1"/>
  </r>
  <r>
    <s v="20260621_192651"/>
    <n v="3"/>
    <n v="3"/>
    <n v="70.959199999999996"/>
    <n v="65.61"/>
    <n v="5.3491999999999997"/>
    <n v="1"/>
    <n v="0"/>
    <n v="0"/>
    <n v="7.538416442124489E-2"/>
    <n v="1"/>
    <n v="1"/>
    <n v="1"/>
    <n v="1"/>
    <n v="1"/>
    <x v="1"/>
    <x v="2"/>
    <x v="0"/>
    <x v="2"/>
  </r>
  <r>
    <s v="20260621_222241"/>
    <n v="3"/>
    <n v="3"/>
    <n v="70.31"/>
    <n v="66.91"/>
    <n v="3.4"/>
    <n v="1"/>
    <n v="0"/>
    <n v="0"/>
    <n v="4.8357274925330679E-2"/>
    <n v="0"/>
    <n v="0"/>
    <n v="0"/>
    <n v="1"/>
    <n v="0"/>
    <x v="1"/>
    <x v="2"/>
    <x v="0"/>
    <x v="2"/>
  </r>
  <r>
    <s v="20260617_224021"/>
    <n v="3"/>
    <n v="2"/>
    <n v="67.989999999999995"/>
    <n v="70.45"/>
    <n v="-2.46"/>
    <n v="0"/>
    <n v="1"/>
    <n v="0"/>
    <n v="3.6181791439917635E-2"/>
    <n v="0"/>
    <n v="0"/>
    <n v="0"/>
    <n v="0"/>
    <n v="0"/>
    <x v="1"/>
    <x v="2"/>
    <x v="0"/>
    <x v="1"/>
  </r>
  <r>
    <s v="20260617_161833"/>
    <n v="4"/>
    <n v="2"/>
    <n v="75.593800000000002"/>
    <n v="75.59"/>
    <n v="3.8E-3"/>
    <n v="1"/>
    <n v="0"/>
    <n v="0"/>
    <n v="5.0268672827665761E-5"/>
    <n v="0"/>
    <n v="0"/>
    <n v="0"/>
    <n v="1"/>
    <n v="1"/>
    <x v="1"/>
    <x v="3"/>
    <x v="0"/>
    <x v="1"/>
  </r>
  <r>
    <s v="20260621_191117"/>
    <n v="4"/>
    <n v="2"/>
    <n v="78.407799999999995"/>
    <n v="78.27"/>
    <n v="0.13780000000000001"/>
    <n v="1"/>
    <n v="0"/>
    <n v="0"/>
    <n v="1.7574782100760386E-3"/>
    <n v="0"/>
    <n v="0"/>
    <n v="0"/>
    <n v="1"/>
    <n v="1"/>
    <x v="1"/>
    <x v="3"/>
    <x v="0"/>
    <x v="1"/>
  </r>
  <r>
    <s v="20260618_143804"/>
    <n v="4"/>
    <n v="4"/>
    <n v="68.040000000000006"/>
    <n v="66.23"/>
    <n v="1.81"/>
    <n v="1"/>
    <n v="0"/>
    <n v="0"/>
    <n v="2.6601998824221044E-2"/>
    <n v="0"/>
    <n v="0"/>
    <n v="1"/>
    <n v="1"/>
    <n v="0"/>
    <x v="1"/>
    <x v="3"/>
    <x v="1"/>
    <x v="3"/>
  </r>
  <r>
    <s v="20260617_225645"/>
    <n v="4"/>
    <n v="1"/>
    <n v="75.853800000000007"/>
    <n v="81.77"/>
    <n v="-5.9161999999999999"/>
    <n v="0"/>
    <n v="1"/>
    <n v="0"/>
    <n v="7.7994774157655905E-2"/>
    <n v="1"/>
    <n v="0"/>
    <n v="0"/>
    <n v="1"/>
    <n v="1"/>
    <x v="1"/>
    <x v="3"/>
    <x v="0"/>
    <x v="0"/>
  </r>
  <r>
    <s v="20260621_183749"/>
    <n v="4"/>
    <n v="3"/>
    <n v="70.4238"/>
    <n v="66.709999999999994"/>
    <n v="3.7138"/>
    <n v="1"/>
    <n v="0"/>
    <n v="0"/>
    <n v="5.2735012879168687E-2"/>
    <n v="1"/>
    <n v="1"/>
    <n v="0"/>
    <n v="1"/>
    <n v="0"/>
    <x v="1"/>
    <x v="3"/>
    <x v="0"/>
    <x v="2"/>
  </r>
  <r>
    <s v="20260618_175805"/>
    <n v="4"/>
    <n v="4"/>
    <n v="69.53"/>
    <n v="72.61"/>
    <n v="-3.08"/>
    <n v="0"/>
    <n v="1"/>
    <n v="0"/>
    <n v="4.4297425571695671E-2"/>
    <n v="0"/>
    <n v="0"/>
    <n v="0"/>
    <n v="0"/>
    <n v="0"/>
    <x v="1"/>
    <x v="3"/>
    <x v="1"/>
    <x v="3"/>
  </r>
  <r>
    <s v="20260621_214951"/>
    <n v="4"/>
    <n v="2"/>
    <n v="77.59"/>
    <n v="74.040000000000006"/>
    <n v="3.55"/>
    <n v="1"/>
    <n v="0"/>
    <n v="0"/>
    <n v="4.5753318726640027E-2"/>
    <n v="0"/>
    <n v="0"/>
    <n v="0"/>
    <n v="1"/>
    <n v="1"/>
    <x v="1"/>
    <x v="3"/>
    <x v="0"/>
    <x v="1"/>
  </r>
  <r>
    <s v="20260621_193635"/>
    <n v="4"/>
    <n v="4"/>
    <n v="70.069999999999993"/>
    <n v="70.58"/>
    <n v="-0.51"/>
    <n v="0"/>
    <n v="1"/>
    <n v="0"/>
    <n v="7.2784358498644225E-3"/>
    <n v="0"/>
    <n v="0"/>
    <n v="0"/>
    <n v="0"/>
    <n v="0"/>
    <x v="1"/>
    <x v="3"/>
    <x v="1"/>
    <x v="3"/>
  </r>
  <r>
    <s v="20260618_180614"/>
    <n v="4"/>
    <n v="1"/>
    <n v="85.159199999999998"/>
    <n v="81.599999999999994"/>
    <n v="3.5592000000000001"/>
    <n v="1"/>
    <n v="0"/>
    <n v="0"/>
    <n v="4.1794662232618442E-2"/>
    <n v="0"/>
    <n v="0"/>
    <n v="0"/>
    <n v="1"/>
    <n v="1"/>
    <x v="1"/>
    <x v="3"/>
    <x v="0"/>
    <x v="0"/>
  </r>
  <r>
    <s v="20260617_164554"/>
    <n v="4"/>
    <n v="3"/>
    <n v="69.87"/>
    <n v="68.819999999999993"/>
    <n v="1.05"/>
    <n v="1"/>
    <n v="0"/>
    <n v="0"/>
    <n v="1.50279089738085E-2"/>
    <n v="0"/>
    <n v="0"/>
    <n v="1"/>
    <n v="1"/>
    <n v="0"/>
    <x v="1"/>
    <x v="3"/>
    <x v="0"/>
    <x v="2"/>
  </r>
  <r>
    <s v="20260618_182902"/>
    <n v="5"/>
    <n v="2"/>
    <n v="86.944000000000003"/>
    <n v="81.430000000000007"/>
    <n v="5.5140000000000002"/>
    <n v="1"/>
    <n v="0"/>
    <n v="0"/>
    <n v="6.3420132499079865E-2"/>
    <n v="1"/>
    <n v="1"/>
    <n v="1"/>
    <n v="1"/>
    <n v="1"/>
    <x v="2"/>
    <x v="4"/>
    <x v="0"/>
    <x v="1"/>
  </r>
  <r>
    <s v="20260621_183301"/>
    <n v="5"/>
    <n v="2"/>
    <n v="81.637799999999999"/>
    <n v="80.650000000000006"/>
    <n v="0.98780000000000001"/>
    <n v="1"/>
    <n v="0"/>
    <n v="0"/>
    <n v="1.2099787108422815E-2"/>
    <n v="0"/>
    <n v="0"/>
    <n v="0"/>
    <n v="1"/>
    <n v="1"/>
    <x v="2"/>
    <x v="4"/>
    <x v="0"/>
    <x v="1"/>
  </r>
  <r>
    <s v="20260621_221335"/>
    <n v="5"/>
    <n v="4"/>
    <n v="72.430000000000007"/>
    <n v="75.400000000000006"/>
    <n v="-2.97"/>
    <n v="0"/>
    <n v="1"/>
    <n v="0"/>
    <n v="4.1005108380505313E-2"/>
    <n v="0"/>
    <n v="0"/>
    <n v="0"/>
    <n v="0"/>
    <n v="0"/>
    <x v="2"/>
    <x v="4"/>
    <x v="1"/>
    <x v="3"/>
  </r>
  <r>
    <s v="20260617_170735"/>
    <n v="5"/>
    <n v="2"/>
    <n v="71.284000000000006"/>
    <n v="69.680000000000007"/>
    <n v="1.6040000000000001"/>
    <n v="1"/>
    <n v="0"/>
    <n v="0"/>
    <n v="2.2501543123281523E-2"/>
    <n v="0"/>
    <n v="0"/>
    <n v="0"/>
    <n v="1"/>
    <n v="0"/>
    <x v="2"/>
    <x v="4"/>
    <x v="0"/>
    <x v="1"/>
  </r>
  <r>
    <s v="20260618_153713"/>
    <n v="5"/>
    <n v="2"/>
    <n v="73.3"/>
    <n v="76"/>
    <n v="-2.7"/>
    <n v="0"/>
    <n v="1"/>
    <n v="0"/>
    <n v="3.6834924965893592E-2"/>
    <n v="0"/>
    <n v="0"/>
    <n v="0"/>
    <n v="0"/>
    <n v="0"/>
    <x v="2"/>
    <x v="4"/>
    <x v="0"/>
    <x v="1"/>
  </r>
  <r>
    <s v="20260621_223136"/>
    <n v="6"/>
    <n v="2"/>
    <n v="82.399199999999993"/>
    <n v="82.38"/>
    <n v="1.9199999999999998E-2"/>
    <n v="1"/>
    <n v="0"/>
    <n v="0"/>
    <n v="2.330119709900096E-4"/>
    <n v="0"/>
    <n v="0"/>
    <n v="0"/>
    <n v="1"/>
    <n v="1"/>
    <x v="2"/>
    <x v="5"/>
    <x v="0"/>
    <x v="1"/>
  </r>
  <r>
    <s v="20260621_223602"/>
    <n v="6"/>
    <n v="4"/>
    <n v="76.403999999999996"/>
    <n v="79.33"/>
    <n v="-2.9260000000000002"/>
    <n v="0"/>
    <n v="1"/>
    <n v="0"/>
    <n v="3.8296424270980581E-2"/>
    <n v="0"/>
    <n v="0"/>
    <n v="0"/>
    <n v="1"/>
    <n v="1"/>
    <x v="2"/>
    <x v="5"/>
    <x v="1"/>
    <x v="3"/>
  </r>
  <r>
    <s v="20260621_221747"/>
    <n v="6"/>
    <n v="5"/>
    <n v="70.16"/>
    <n v="71.03"/>
    <n v="-0.87"/>
    <n v="0"/>
    <n v="1"/>
    <n v="0"/>
    <n v="1.2400228050171038E-2"/>
    <n v="0"/>
    <n v="0"/>
    <n v="0"/>
    <n v="0"/>
    <n v="0"/>
    <x v="2"/>
    <x v="5"/>
    <x v="1"/>
    <x v="4"/>
  </r>
  <r>
    <s v="20260618_174248"/>
    <n v="7"/>
    <n v="4"/>
    <n v="82.913799999999995"/>
    <n v="81.599999999999994"/>
    <n v="1.3138000000000001"/>
    <n v="1"/>
    <n v="0"/>
    <n v="0"/>
    <n v="1.584537194049724E-2"/>
    <n v="0"/>
    <n v="0"/>
    <n v="0"/>
    <n v="1"/>
    <n v="1"/>
    <x v="2"/>
    <x v="6"/>
    <x v="1"/>
    <x v="3"/>
  </r>
  <r>
    <s v="20260618_145303"/>
    <n v="7"/>
    <n v="2"/>
    <n v="91.724000000000004"/>
    <n v="88.36"/>
    <n v="3.3639999999999999"/>
    <n v="1"/>
    <n v="0"/>
    <n v="0"/>
    <n v="3.6675243120666341E-2"/>
    <n v="0"/>
    <n v="0"/>
    <n v="0"/>
    <n v="1"/>
    <n v="1"/>
    <x v="2"/>
    <x v="6"/>
    <x v="0"/>
    <x v="1"/>
  </r>
  <r>
    <s v="20260617_224555"/>
    <n v="7"/>
    <n v="4"/>
    <n v="81.453800000000001"/>
    <n v="84.47"/>
    <n v="-3.0162"/>
    <n v="0"/>
    <n v="1"/>
    <n v="0"/>
    <n v="3.7029579958209435E-2"/>
    <n v="0"/>
    <n v="0"/>
    <n v="0"/>
    <n v="1"/>
    <n v="1"/>
    <x v="2"/>
    <x v="6"/>
    <x v="1"/>
    <x v="3"/>
  </r>
  <r>
    <s v="20260618_144802"/>
    <n v="7"/>
    <n v="4"/>
    <n v="76.757999999999996"/>
    <n v="68.53"/>
    <n v="8.2279999999999998"/>
    <n v="1"/>
    <n v="0"/>
    <n v="0"/>
    <n v="0.10719403840642018"/>
    <n v="1"/>
    <n v="1"/>
    <n v="0"/>
    <n v="1"/>
    <n v="1"/>
    <x v="2"/>
    <x v="6"/>
    <x v="1"/>
    <x v="3"/>
  </r>
  <r>
    <s v="20260618_155540"/>
    <n v="7"/>
    <n v="2"/>
    <n v="81.837800000000001"/>
    <n v="79.75"/>
    <n v="2.0878000000000001"/>
    <n v="1"/>
    <n v="0"/>
    <n v="0"/>
    <n v="2.5511438479529022E-2"/>
    <n v="0"/>
    <n v="0"/>
    <n v="0"/>
    <n v="1"/>
    <n v="1"/>
    <x v="2"/>
    <x v="6"/>
    <x v="0"/>
    <x v="1"/>
  </r>
  <r>
    <s v="20260617_163852"/>
    <n v="7"/>
    <n v="3"/>
    <n v="79.287800000000004"/>
    <n v="86.08"/>
    <n v="-6.7922000000000002"/>
    <n v="0"/>
    <n v="1"/>
    <n v="0"/>
    <n v="8.5665133854136447E-2"/>
    <n v="1"/>
    <n v="0"/>
    <n v="0"/>
    <n v="1"/>
    <n v="1"/>
    <x v="2"/>
    <x v="6"/>
    <x v="0"/>
    <x v="2"/>
  </r>
  <r>
    <s v="20260621_213147"/>
    <n v="7"/>
    <n v="7"/>
    <n v="71.930000000000007"/>
    <n v="72.59"/>
    <n v="-0.66"/>
    <n v="0"/>
    <n v="1"/>
    <n v="0"/>
    <n v="9.1755873766161539E-3"/>
    <n v="0"/>
    <n v="0"/>
    <n v="0"/>
    <n v="0"/>
    <n v="0"/>
    <x v="2"/>
    <x v="6"/>
    <x v="1"/>
    <x v="5"/>
  </r>
  <r>
    <s v="20260621_173643"/>
    <n v="7"/>
    <n v="6"/>
    <n v="73.947800000000001"/>
    <n v="67.599999999999994"/>
    <n v="6.3478000000000003"/>
    <n v="1"/>
    <n v="0"/>
    <n v="0"/>
    <n v="8.58416342338785E-2"/>
    <n v="1"/>
    <n v="1"/>
    <n v="0"/>
    <n v="1"/>
    <n v="1"/>
    <x v="2"/>
    <x v="6"/>
    <x v="1"/>
    <x v="6"/>
  </r>
  <r>
    <s v="20260621_214416"/>
    <n v="7"/>
    <n v="4"/>
    <n v="80.777799999999999"/>
    <n v="81.42"/>
    <n v="-0.64219999999999999"/>
    <n v="0"/>
    <n v="1"/>
    <n v="0"/>
    <n v="7.950204140246454E-3"/>
    <n v="0"/>
    <n v="0"/>
    <n v="0"/>
    <n v="1"/>
    <n v="1"/>
    <x v="2"/>
    <x v="6"/>
    <x v="1"/>
    <x v="3"/>
  </r>
  <r>
    <s v="20260618_183455"/>
    <n v="8"/>
    <n v="3"/>
    <n v="87.097800000000007"/>
    <n v="84.13"/>
    <n v="2.9678"/>
    <n v="1"/>
    <n v="0"/>
    <n v="0"/>
    <n v="3.4074339420743116E-2"/>
    <n v="0"/>
    <n v="0"/>
    <n v="0"/>
    <n v="1"/>
    <n v="1"/>
    <x v="3"/>
    <x v="7"/>
    <x v="0"/>
    <x v="2"/>
  </r>
  <r>
    <s v="20260621_220936"/>
    <n v="8"/>
    <n v="2"/>
    <n v="93.47"/>
    <n v="96.74"/>
    <n v="-3.27"/>
    <n v="0"/>
    <n v="1"/>
    <n v="0"/>
    <n v="3.4984487001176852E-2"/>
    <n v="0"/>
    <n v="0"/>
    <n v="0"/>
    <n v="1"/>
    <n v="1"/>
    <x v="3"/>
    <x v="7"/>
    <x v="0"/>
    <x v="1"/>
  </r>
  <r>
    <s v="20260617_221608"/>
    <n v="8"/>
    <n v="4"/>
    <n v="82.843800000000002"/>
    <n v="86.18"/>
    <n v="-3.3361999999999998"/>
    <n v="0"/>
    <n v="1"/>
    <n v="0"/>
    <n v="4.0270967773086218E-2"/>
    <n v="0"/>
    <n v="0"/>
    <n v="0"/>
    <n v="1"/>
    <n v="1"/>
    <x v="3"/>
    <x v="7"/>
    <x v="1"/>
    <x v="3"/>
  </r>
  <r>
    <s v="20260617_230214"/>
    <n v="8"/>
    <n v="5"/>
    <n v="74.343999999999994"/>
    <n v="72.09"/>
    <n v="2.254"/>
    <n v="1"/>
    <n v="0"/>
    <n v="0"/>
    <n v="3.0318519315613905E-2"/>
    <n v="0"/>
    <n v="0"/>
    <n v="0"/>
    <n v="1"/>
    <n v="0"/>
    <x v="3"/>
    <x v="7"/>
    <x v="1"/>
    <x v="4"/>
  </r>
  <r>
    <s v="20260618_154903"/>
    <n v="9"/>
    <n v="3"/>
    <n v="89.547799999999995"/>
    <n v="90.7"/>
    <n v="-1.1521999999999999"/>
    <n v="0"/>
    <n v="1"/>
    <n v="0"/>
    <n v="1.2866871101244251E-2"/>
    <n v="0"/>
    <n v="0"/>
    <n v="0"/>
    <n v="1"/>
    <n v="1"/>
    <x v="3"/>
    <x v="8"/>
    <x v="0"/>
    <x v="2"/>
  </r>
  <r>
    <s v="20260616_163957"/>
    <n v="9"/>
    <n v="5"/>
    <n v="80.483999999999995"/>
    <n v="73.739999999999995"/>
    <n v="6.7439999999999998"/>
    <n v="1"/>
    <n v="0"/>
    <n v="0"/>
    <n v="8.3793052035187124E-2"/>
    <n v="1"/>
    <n v="1"/>
    <n v="0"/>
    <n v="1"/>
    <n v="1"/>
    <x v="3"/>
    <x v="8"/>
    <x v="1"/>
    <x v="4"/>
  </r>
  <r>
    <s v="20260621_174800"/>
    <n v="10"/>
    <n v="7"/>
    <n v="78.45"/>
    <n v="79.2"/>
    <n v="-0.75"/>
    <n v="0"/>
    <n v="1"/>
    <n v="0"/>
    <n v="9.5602294455066923E-3"/>
    <n v="0"/>
    <n v="0"/>
    <n v="0"/>
    <n v="0"/>
    <n v="0"/>
    <x v="3"/>
    <x v="9"/>
    <x v="1"/>
    <x v="5"/>
  </r>
  <r>
    <s v="20260616_165213"/>
    <n v="10"/>
    <n v="7"/>
    <n v="80.263800000000003"/>
    <n v="74.180000000000007"/>
    <n v="6.0838000000000001"/>
    <n v="1"/>
    <n v="0"/>
    <n v="0"/>
    <n v="7.5797557553965791E-2"/>
    <n v="1"/>
    <n v="1"/>
    <n v="0"/>
    <n v="1"/>
    <n v="1"/>
    <x v="3"/>
    <x v="9"/>
    <x v="1"/>
    <x v="5"/>
  </r>
  <r>
    <s v="20260621_220456"/>
    <n v="10"/>
    <n v="6"/>
    <n v="81.25"/>
    <n v="82.63"/>
    <n v="-1.38"/>
    <n v="0"/>
    <n v="1"/>
    <n v="0"/>
    <n v="1.6984615384615383E-2"/>
    <n v="0"/>
    <n v="0"/>
    <n v="0"/>
    <n v="0"/>
    <n v="0"/>
    <x v="3"/>
    <x v="9"/>
    <x v="1"/>
    <x v="6"/>
  </r>
  <r>
    <s v="20260617_221043"/>
    <n v="10"/>
    <n v="5"/>
    <n v="85.989199999999997"/>
    <n v="85.88"/>
    <n v="0.10920000000000001"/>
    <n v="1"/>
    <n v="0"/>
    <n v="0"/>
    <n v="1.2699269210552024E-3"/>
    <n v="0"/>
    <n v="0"/>
    <n v="0"/>
    <n v="1"/>
    <n v="1"/>
    <x v="3"/>
    <x v="9"/>
    <x v="1"/>
    <x v="4"/>
  </r>
  <r>
    <s v="20260617_163225"/>
    <n v="10"/>
    <n v="6"/>
    <n v="84.313800000000001"/>
    <n v="84.27"/>
    <n v="4.3799999999999999E-2"/>
    <n v="1"/>
    <n v="0"/>
    <n v="0"/>
    <n v="5.194879130106815E-4"/>
    <n v="0"/>
    <n v="0"/>
    <n v="0"/>
    <n v="1"/>
    <n v="1"/>
    <x v="3"/>
    <x v="9"/>
    <x v="1"/>
    <x v="6"/>
  </r>
  <r>
    <s v="20260618_150321"/>
    <n v="11"/>
    <n v="6"/>
    <n v="101.0378"/>
    <n v="99.62"/>
    <n v="1.4177999999999999"/>
    <n v="1"/>
    <n v="0"/>
    <n v="0"/>
    <n v="1.4032372042938385E-2"/>
    <n v="0"/>
    <n v="0"/>
    <n v="0"/>
    <n v="1"/>
    <n v="1"/>
    <x v="3"/>
    <x v="10"/>
    <x v="1"/>
    <x v="6"/>
  </r>
  <r>
    <s v="20260617_223549"/>
    <n v="11"/>
    <n v="5"/>
    <n v="101.81"/>
    <n v="104.45"/>
    <n v="-2.64"/>
    <n v="0"/>
    <n v="1"/>
    <n v="0"/>
    <n v="2.5930655141931047E-2"/>
    <n v="0"/>
    <n v="0"/>
    <n v="0"/>
    <n v="0"/>
    <n v="0"/>
    <x v="3"/>
    <x v="10"/>
    <x v="1"/>
    <x v="4"/>
  </r>
  <r>
    <s v="20260618_153051"/>
    <n v="11"/>
    <n v="5"/>
    <n v="105.381"/>
    <n v="97.04"/>
    <n v="8.3409999999999993"/>
    <n v="1"/>
    <n v="0"/>
    <n v="0"/>
    <n v="7.9150890577997929E-2"/>
    <n v="1"/>
    <n v="1"/>
    <n v="0"/>
    <n v="1"/>
    <n v="1"/>
    <x v="3"/>
    <x v="10"/>
    <x v="1"/>
    <x v="4"/>
  </r>
  <r>
    <s v="20260617_225121"/>
    <n v="11"/>
    <n v="6"/>
    <n v="82.45"/>
    <n v="84.02"/>
    <n v="-1.57"/>
    <n v="0"/>
    <n v="1"/>
    <n v="0"/>
    <n v="1.9041843541540329E-2"/>
    <n v="0"/>
    <n v="0"/>
    <n v="0"/>
    <n v="0"/>
    <n v="0"/>
    <x v="3"/>
    <x v="10"/>
    <x v="1"/>
    <x v="6"/>
  </r>
  <r>
    <s v="20260617_162610"/>
    <n v="11"/>
    <n v="6"/>
    <n v="95.521600000000007"/>
    <n v="84.35"/>
    <n v="11.1716"/>
    <n v="1"/>
    <n v="0"/>
    <n v="0"/>
    <n v="0.11695365236763203"/>
    <n v="1"/>
    <n v="1"/>
    <n v="0"/>
    <n v="1"/>
    <n v="1"/>
    <x v="3"/>
    <x v="10"/>
    <x v="1"/>
    <x v="6"/>
  </r>
  <r>
    <s v="20260618_171939"/>
    <n v="12"/>
    <n v="5"/>
    <n v="99.857600000000005"/>
    <n v="98.95"/>
    <n v="0.90759999999999996"/>
    <n v="1"/>
    <n v="0"/>
    <n v="0"/>
    <n v="9.0889426543397794E-3"/>
    <n v="0"/>
    <n v="0"/>
    <n v="0"/>
    <n v="1"/>
    <n v="1"/>
    <x v="4"/>
    <x v="11"/>
    <x v="1"/>
    <x v="4"/>
  </r>
  <r>
    <s v="20260618_172550"/>
    <n v="13"/>
    <n v="5"/>
    <n v="105.09399999999999"/>
    <n v="102.61"/>
    <n v="2.484"/>
    <n v="1"/>
    <n v="0"/>
    <n v="0"/>
    <n v="2.3635983024720728E-2"/>
    <n v="0"/>
    <n v="0"/>
    <n v="0"/>
    <n v="1"/>
    <n v="1"/>
    <x v="4"/>
    <x v="11"/>
    <x v="1"/>
    <x v="4"/>
  </r>
  <r>
    <s v="20260621_180040"/>
    <n v="13"/>
    <n v="7"/>
    <n v="94.09"/>
    <n v="95.25"/>
    <n v="-1.1599999999999999"/>
    <n v="0"/>
    <n v="1"/>
    <n v="0"/>
    <n v="1.2328621532575192E-2"/>
    <n v="0"/>
    <n v="0"/>
    <n v="0"/>
    <n v="0"/>
    <n v="0"/>
    <x v="4"/>
    <x v="11"/>
    <x v="1"/>
    <x v="5"/>
  </r>
  <r>
    <s v="20260617_161127"/>
    <n v="15"/>
    <n v="8"/>
    <n v="97.357600000000005"/>
    <n v="92.22"/>
    <n v="5.1375999999999999"/>
    <n v="1"/>
    <n v="0"/>
    <n v="0"/>
    <n v="5.2770405186652089E-2"/>
    <n v="1"/>
    <n v="1"/>
    <n v="0"/>
    <n v="1"/>
    <n v="0"/>
    <x v="4"/>
    <x v="11"/>
    <x v="1"/>
    <x v="7"/>
  </r>
  <r>
    <s v="20260618_173434"/>
    <n v="17"/>
    <n v="9"/>
    <n v="103.884"/>
    <n v="100.89"/>
    <n v="2.9940000000000002"/>
    <n v="1"/>
    <n v="0"/>
    <n v="0"/>
    <n v="2.8820607600785492E-2"/>
    <n v="0"/>
    <n v="0"/>
    <n v="0"/>
    <n v="1"/>
    <n v="1"/>
    <x v="4"/>
    <x v="11"/>
    <x v="1"/>
    <x v="7"/>
  </r>
  <r>
    <s v="20260617_222235"/>
    <n v="20"/>
    <n v="7"/>
    <n v="143.898"/>
    <n v="138.37"/>
    <n v="5.5279999999999996"/>
    <n v="1"/>
    <n v="0"/>
    <n v="0"/>
    <n v="3.8416100293263283E-2"/>
    <n v="0"/>
    <n v="0"/>
    <n v="0"/>
    <n v="1"/>
    <n v="1"/>
    <x v="4"/>
    <x v="12"/>
    <x v="1"/>
    <x v="5"/>
  </r>
  <r>
    <s v="20260617_214847"/>
    <n v="20"/>
    <n v="10"/>
    <n v="102.718"/>
    <n v="92.43"/>
    <n v="10.288"/>
    <n v="1"/>
    <n v="0"/>
    <n v="0"/>
    <n v="0.10015771335111665"/>
    <n v="1"/>
    <n v="1"/>
    <n v="0"/>
    <n v="1"/>
    <n v="1"/>
    <x v="4"/>
    <x v="12"/>
    <x v="1"/>
    <x v="7"/>
  </r>
  <r>
    <s v="20260617_215539"/>
    <n v="26"/>
    <n v="11"/>
    <n v="145.2664"/>
    <n v="148.16999999999999"/>
    <n v="-2.9036"/>
    <n v="0"/>
    <n v="1"/>
    <n v="0"/>
    <n v="1.9988104613317324E-2"/>
    <n v="0"/>
    <n v="0"/>
    <n v="0"/>
    <n v="1"/>
    <n v="1"/>
    <x v="4"/>
    <x v="12"/>
    <x v="1"/>
    <x v="7"/>
  </r>
  <r>
    <s v="20260617_220342"/>
    <n v="27"/>
    <n v="11"/>
    <n v="169.91919999999999"/>
    <n v="166.98"/>
    <n v="2.9392"/>
    <n v="1"/>
    <n v="0"/>
    <n v="0"/>
    <n v="1.7297633228028381E-2"/>
    <n v="0"/>
    <n v="0"/>
    <n v="0"/>
    <n v="1"/>
    <n v="1"/>
    <x v="4"/>
    <x v="12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571E7-2073-4B6F-8FD3-ED1E8260BDA9}" name="樞紐分析表5" cacheId="4" applyNumberFormats="0" applyBorderFormats="0" applyFontFormats="0" applyPatternFormats="0" applyAlignmentFormats="0" applyWidthHeightFormats="1" dataCaption="值" updatedVersion="8" minRefreshableVersion="3" useAutoFormatting="1" subtotalHiddenItems="1" rowGrandTotals="0" itemPrintTitles="1" createdVersion="8" indent="0" outline="1" outlineData="1" multipleFieldFilters="0" chartFormat="1" rowHeaderCaption="caseID">
  <location ref="A1:C72" firstHeaderRow="0" firstDataRow="1" firstDataCol="1"/>
  <pivotFields count="3">
    <pivotField axis="axisRow" allDrilled="1" subtotalTop="0" showAll="0" sortType="ascending" defaultSubtotal="0" defaultAttributeDrillState="1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71">
    <i>
      <x v="44"/>
    </i>
    <i>
      <x v="68"/>
    </i>
    <i>
      <x v="45"/>
    </i>
    <i>
      <x v="28"/>
    </i>
    <i>
      <x v="46"/>
    </i>
    <i>
      <x v="39"/>
    </i>
    <i>
      <x v="48"/>
    </i>
    <i>
      <x v="21"/>
    </i>
    <i>
      <x v="53"/>
    </i>
    <i>
      <x v="43"/>
    </i>
    <i>
      <x v="54"/>
    </i>
    <i>
      <x v="37"/>
    </i>
    <i>
      <x v="59"/>
    </i>
    <i>
      <x v="41"/>
    </i>
    <i>
      <x v="51"/>
    </i>
    <i>
      <x v="32"/>
    </i>
    <i>
      <x v="3"/>
    </i>
    <i>
      <x v="64"/>
    </i>
    <i>
      <x v="24"/>
    </i>
    <i>
      <x v="69"/>
    </i>
    <i>
      <x v="26"/>
    </i>
    <i>
      <x v="10"/>
    </i>
    <i>
      <x v="55"/>
    </i>
    <i>
      <x v="40"/>
    </i>
    <i>
      <x v="56"/>
    </i>
    <i>
      <x v="18"/>
    </i>
    <i>
      <x v="30"/>
    </i>
    <i>
      <x v="9"/>
    </i>
    <i>
      <x v="62"/>
    </i>
    <i>
      <x v="52"/>
    </i>
    <i>
      <x v="6"/>
    </i>
    <i>
      <x v="8"/>
    </i>
    <i>
      <x v="7"/>
    </i>
    <i>
      <x v="42"/>
    </i>
    <i>
      <x v="67"/>
    </i>
    <i>
      <x v="57"/>
    </i>
    <i>
      <x v="31"/>
    </i>
    <i>
      <x v="36"/>
    </i>
    <i>
      <x v="58"/>
    </i>
    <i>
      <x v="19"/>
    </i>
    <i>
      <x v="61"/>
    </i>
    <i>
      <x v="25"/>
    </i>
    <i>
      <x v="70"/>
    </i>
    <i>
      <x v="23"/>
    </i>
    <i>
      <x v="65"/>
    </i>
    <i>
      <x v="15"/>
    </i>
    <i>
      <x v="38"/>
    </i>
    <i>
      <x v="17"/>
    </i>
    <i>
      <x v="22"/>
    </i>
    <i>
      <x v="34"/>
    </i>
    <i>
      <x v="29"/>
    </i>
    <i>
      <x v="33"/>
    </i>
    <i>
      <x/>
    </i>
    <i>
      <x v="66"/>
    </i>
    <i>
      <x v="14"/>
    </i>
    <i>
      <x v="20"/>
    </i>
    <i>
      <x v="63"/>
    </i>
    <i>
      <x v="5"/>
    </i>
    <i>
      <x v="27"/>
    </i>
    <i>
      <x v="47"/>
    </i>
    <i>
      <x v="4"/>
    </i>
    <i>
      <x v="60"/>
    </i>
    <i>
      <x v="49"/>
    </i>
    <i>
      <x v="16"/>
    </i>
    <i>
      <x v="50"/>
    </i>
    <i>
      <x v="1"/>
    </i>
    <i>
      <x v="2"/>
    </i>
    <i>
      <x v="35"/>
    </i>
    <i>
      <x v="11"/>
    </i>
    <i>
      <x v="12"/>
    </i>
    <i>
      <x v="13"/>
    </i>
  </rowItems>
  <colFields count="1">
    <field x="-2"/>
  </colFields>
  <colItems count="2">
    <i>
      <x/>
    </i>
    <i i="1">
      <x v="1"/>
    </i>
  </colItems>
  <dataFields count="2">
    <dataField name="失效次數" fld="1" subtotal="count" baseField="0" baseItem="23"/>
    <dataField name="失效任務個數" fld="2" subtotal="count" baseField="0" baseItem="23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8">
    <format dxfId="423">
      <pivotArea type="all" dataOnly="0" outline="0" fieldPosition="0"/>
    </format>
    <format dxfId="422">
      <pivotArea outline="0" collapsedLevelsAreSubtotals="1" fieldPosition="0"/>
    </format>
    <format dxfId="421">
      <pivotArea field="0" type="button" dataOnly="0" labelOnly="1" outline="0" axis="axisRow" fieldPosition="0"/>
    </format>
    <format dxfId="420">
      <pivotArea dataOnly="0" labelOnly="1" fieldPosition="0">
        <references count="1">
          <reference field="0" count="50">
            <x v="3"/>
            <x v="6"/>
            <x v="7"/>
            <x v="8"/>
            <x v="9"/>
            <x v="10"/>
            <x v="15"/>
            <x v="17"/>
            <x v="18"/>
            <x v="19"/>
            <x v="21"/>
            <x v="22"/>
            <x v="23"/>
            <x v="24"/>
            <x v="25"/>
            <x v="26"/>
            <x v="28"/>
            <x v="30"/>
            <x v="31"/>
            <x v="32"/>
            <x v="34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8"/>
            <x v="51"/>
            <x v="52"/>
            <x v="53"/>
            <x v="54"/>
            <x v="55"/>
            <x v="56"/>
            <x v="57"/>
            <x v="58"/>
            <x v="59"/>
            <x v="61"/>
            <x v="62"/>
            <x v="64"/>
            <x v="65"/>
            <x v="67"/>
            <x v="68"/>
            <x v="69"/>
            <x v="70"/>
          </reference>
        </references>
      </pivotArea>
    </format>
    <format dxfId="419">
      <pivotArea dataOnly="0" labelOnly="1" fieldPosition="0">
        <references count="1">
          <reference field="0" count="21">
            <x v="0"/>
            <x v="1"/>
            <x v="2"/>
            <x v="4"/>
            <x v="5"/>
            <x v="11"/>
            <x v="12"/>
            <x v="13"/>
            <x v="14"/>
            <x v="16"/>
            <x v="20"/>
            <x v="27"/>
            <x v="29"/>
            <x v="33"/>
            <x v="35"/>
            <x v="47"/>
            <x v="49"/>
            <x v="50"/>
            <x v="60"/>
            <x v="63"/>
            <x v="66"/>
          </reference>
        </references>
      </pivotArea>
    </format>
    <format dxfId="4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7">
      <pivotArea collapsedLevelsAreSubtotals="1" fieldPosition="0">
        <references count="1">
          <reference field="0" count="1">
            <x v="21"/>
          </reference>
        </references>
      </pivotArea>
    </format>
    <format dxfId="416">
      <pivotArea dataOnly="0" labelOnly="1" fieldPosition="0">
        <references count="1">
          <reference field="0" count="1">
            <x v="21"/>
          </reference>
        </references>
      </pivotArea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失效任務個數"/>
    <pivotHierarchy dragToData="1" caption="失效次數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tch_event_summary!$A$1:$W$501">
        <x15:activeTabTopLevelEntity name="[範圍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9DE1E-143C-44F9-A4AC-7F79511858BC}" name="樞紐分析表7" cacheId="0" applyNumberFormats="0" applyBorderFormats="0" applyFontFormats="0" applyPatternFormats="0" applyAlignmentFormats="0" applyWidthHeightFormats="1" dataCaption="值" updatedVersion="8" minRefreshableVersion="3" useAutoFormatting="1" rowGrandTotals="0" itemPrintTitles="1" createdVersion="8" indent="0" outline="1" outlineData="1" multipleFieldFilters="0" chartFormat="1">
  <location ref="A3:G8" firstHeaderRow="0" firstDataRow="1" firstDataCol="1"/>
  <pivotFields count="19">
    <pivotField dataField="1" showAll="0"/>
    <pivotField showAll="0"/>
    <pivotField showAll="0"/>
    <pivotField numFmtId="2" showAll="0"/>
    <pivotField showAll="0"/>
    <pivotField numFmtId="2" showAll="0"/>
    <pivotField dataField="1" showAll="0"/>
    <pivotField showAll="0"/>
    <pivotField showAll="0"/>
    <pivotField numFmtId="176" showAll="0"/>
    <pivotField showAll="0"/>
    <pivotField dataField="1" showAll="0"/>
    <pivotField dataField="1" showAll="0"/>
    <pivotField dataField="1" showAll="0"/>
    <pivotField dataField="1" showAll="0"/>
    <pivotField axis="axisRow" showAll="0">
      <items count="6">
        <item sd="0" x="0"/>
        <item sd="0" x="1"/>
        <item sd="0" x="2"/>
        <item sd="0" x="3"/>
        <item sd="0" x="4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</pivotFields>
  <rowFields count="2">
    <field x="15"/>
    <field x="16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aseID " fld="0" subtotal="count" baseField="0" baseItem="0"/>
    <dataField name="Dynamic makespan較佳比例" fld="6" subtotal="average" baseField="11" baseItem="8" numFmtId="2"/>
    <dataField name="Nores human等待時間較佳比例" fld="12" subtotal="average" baseField="15" baseItem="15" numFmtId="2"/>
    <dataField name="Dynamic robot等待時間較佳比例" fld="13" subtotal="average" baseField="14" baseItem="14" numFmtId="2"/>
    <dataField name="Dynamic robot等待時間較佳比例(&gt;=5%)" fld="14" subtotal="average" baseField="15" baseItem="17" numFmtId="2"/>
    <dataField name="平均值 - dynamic_effective_5pct" fld="11" subtotal="average" baseField="15" baseItem="4" numFmtId="2"/>
  </dataFields>
  <formats count="6">
    <format dxfId="36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7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372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37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A86BE-CF38-4303-80F8-5E92729209B0}" name="樞紐分析表8" cacheId="0" applyNumberFormats="0" applyBorderFormats="0" applyFontFormats="0" applyPatternFormats="0" applyAlignmentFormats="0" applyWidthHeightFormats="1" dataCaption="值" updatedVersion="8" minRefreshableVersion="3" useAutoFormatting="1" rowGrandTotals="0" itemPrintTitles="1" createdVersion="8" indent="0" outline="1" outlineData="1" multipleFieldFilters="0" chartFormat="1">
  <location ref="A3:F8" firstHeaderRow="0" firstDataRow="1" firstDataCol="1"/>
  <pivotFields count="19">
    <pivotField dataField="1" showAll="0"/>
    <pivotField showAll="0"/>
    <pivotField showAll="0"/>
    <pivotField numFmtId="2" showAll="0"/>
    <pivotField showAll="0"/>
    <pivotField numFmtId="2" showAll="0"/>
    <pivotField dataField="1" showAll="0"/>
    <pivotField showAll="0"/>
    <pivotField showAll="0"/>
    <pivotField numFmtId="176"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axis="axisRow" showAll="0">
      <items count="3">
        <item x="0"/>
        <item sd="0" x="1"/>
        <item t="default"/>
      </items>
    </pivotField>
    <pivotField axis="axisRow" showAll="0">
      <items count="9">
        <item x="0"/>
        <item x="1"/>
        <item x="2"/>
        <item x="3"/>
        <item x="4"/>
        <item x="6"/>
        <item x="5"/>
        <item x="7"/>
        <item t="default"/>
      </items>
    </pivotField>
  </pivotFields>
  <rowFields count="2">
    <field x="17"/>
    <field x="18"/>
  </rowFields>
  <rowItems count="5">
    <i>
      <x/>
    </i>
    <i r="1">
      <x/>
    </i>
    <i r="1">
      <x v="1"/>
    </i>
    <i r="1">
      <x v="2"/>
    </i>
    <i>
      <x v="1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計數 - caseID" fld="0" subtotal="count" baseField="0" baseItem="0"/>
    <dataField name="Dynamic makespna較佳比例" fld="6" subtotal="average" baseField="11" baseItem="0" numFmtId="2"/>
    <dataField name="Dynamic 等待時間較佳比例" fld="13" subtotal="average" baseField="15" baseItem="0" numFmtId="2"/>
    <dataField name="Dynamic 等待時間較佳比例(&gt;=5%)" fld="14" subtotal="average" baseField="17" baseItem="0" numFmtId="2"/>
    <dataField name="平均值 - dynamic_effective_5pct" fld="11" subtotal="average" baseField="17" baseItem="0" numFmtId="2"/>
  </dataFields>
  <formats count="8">
    <format dxfId="396">
      <pivotArea collapsedLevelsAreSubtotals="1" fieldPosition="0">
        <references count="2">
          <reference field="4294967294" count="1" selected="0">
            <x v="1"/>
          </reference>
          <reference field="17" count="0"/>
        </references>
      </pivotArea>
    </format>
    <format dxfId="39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9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0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01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402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129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4" xr16:uid="{B5A271B2-515D-4AD7-BB90-309088686F37}" autoFormatId="16" applyNumberFormats="0" applyBorderFormats="0" applyFontFormats="0" applyPatternFormats="0" applyAlignmentFormats="0" applyWidthHeightFormats="0">
  <queryTableRefresh nextId="22" unboundColumnsRight="6">
    <queryTableFields count="19">
      <queryTableField id="1" name="case_id" tableColumnId="1"/>
      <queryTableField id="2" name="human_idle_nores" tableColumnId="2"/>
      <queryTableField id="3" name="human_idle_nores_ratio" tableColumnId="3"/>
      <queryTableField id="4" name="human_idle_dynamic" tableColumnId="4"/>
      <queryTableField id="5" name="human_idle_dynamic_ratio" tableColumnId="5"/>
      <queryTableField id="6" name="human_idle_ratio_diff_nores_minus_dynamic" tableColumnId="6"/>
      <queryTableField id="7" name="human_nores_idle_ratio_higher" tableColumnId="7"/>
      <queryTableField id="8" name="robot_idle_nores" tableColumnId="8"/>
      <queryTableField id="9" name="robot_idle_nores_ratio" tableColumnId="9"/>
      <queryTableField id="10" name="robot_idle_dynamic" tableColumnId="10"/>
      <queryTableField id="11" name="robot_idle_dynamic_ratio" tableColumnId="11"/>
      <queryTableField id="12" name="robot_idle_ratio_diff_nores_minus_dynamic" tableColumnId="12"/>
      <queryTableField id="13" name="robot_nores_idle_ratio_higher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21" dataBound="0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3" xr16:uid="{94C98CA8-30D8-40E4-99F0-EE149E8955AB}" autoFormatId="16" applyNumberFormats="0" applyBorderFormats="0" applyFontFormats="0" applyPatternFormats="0" applyAlignmentFormats="0" applyWidthHeightFormats="0">
  <queryTableRefresh nextId="18">
    <queryTableFields count="13">
      <queryTableField id="1" name="case_id" tableColumnId="1"/>
      <queryTableField id="2" name="num_events" tableColumnId="2"/>
      <queryTableField id="3" name="offline_makespan" tableColumnId="3"/>
      <queryTableField id="4" name="final_nores_makespan" tableColumnId="4"/>
      <queryTableField id="5" name="final_dynamic_makespan" tableColumnId="5"/>
      <queryTableField id="6" name="final_nores_minus_dynamic" tableColumnId="6"/>
      <queryTableField id="7" name="dynamic_final_better" tableColumnId="7"/>
      <queryTableField id="8" name="nores_final_better" tableColumnId="8"/>
      <queryTableField id="9" name="tie" tableColumnId="9"/>
      <queryTableField id="14" name="comparison_rule" tableColumnId="10"/>
      <queryTableField id="15" name="tie_tolerance_seconds" tableColumnId="11"/>
      <queryTableField id="16" name="final_comparison_png" tableColumnId="12"/>
      <queryTableField id="17" name="output_dir" tableColumnId="13"/>
    </queryTableFields>
    <queryTableDeletedFields count="4">
      <deletedField name="comparison_rule"/>
      <deletedField name="tie_tolerance_seconds"/>
      <deletedField name="final_comparison_png"/>
      <deletedField name="output_di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75B0BE-9E4E-4D1B-A8ED-5FC85874C517}" name="idle_time_ratio_summary" displayName="idle_time_ratio_summary" ref="A1:S79" tableType="queryTable" totalsRowCount="1">
  <autoFilter ref="A1:S78" xr:uid="{D175B0BE-9E4E-4D1B-A8ED-5FC85874C517}"/>
  <tableColumns count="19">
    <tableColumn id="1" xr3:uid="{42771C29-BCCF-4604-8DFD-8997F0C74692}" uniqueName="1" name="case_id" queryTableFieldId="1" dataDxfId="415" totalsRowDxfId="414"/>
    <tableColumn id="2" xr3:uid="{2DD71360-F383-49B3-948F-5C1BF28FECAF}" uniqueName="2" name="human_idle_nores" queryTableFieldId="2"/>
    <tableColumn id="3" xr3:uid="{46CD35AA-5BF6-4671-BD27-05D51F489FA3}" uniqueName="3" name="human_idle_nores_ratio" queryTableFieldId="3"/>
    <tableColumn id="4" xr3:uid="{1DB7E73A-71C7-427F-834F-AF0B51B98C7B}" uniqueName="4" name="human_idle_dynamic" queryTableFieldId="4"/>
    <tableColumn id="5" xr3:uid="{9A18BD64-694B-43C6-BE9E-67BBBC337743}" uniqueName="5" name="human_idle_dynamic_ratio" queryTableFieldId="5"/>
    <tableColumn id="6" xr3:uid="{7B7673FF-F942-4C0B-8157-E5A1B7914CD4}" uniqueName="6" name="human_idle_ratio_diff_nores_minus_dynamic" queryTableFieldId="6"/>
    <tableColumn id="7" xr3:uid="{9AA653E1-8FF6-43B4-BD17-248A96D70764}" uniqueName="7" name="human_nores_idle_ratio_higher" queryTableFieldId="7"/>
    <tableColumn id="8" xr3:uid="{CE87EF96-CE8B-4A9A-9C63-FB971D1F9DCE}" uniqueName="8" name="robot_idle_nores" queryTableFieldId="8"/>
    <tableColumn id="9" xr3:uid="{A26F8D91-61EA-4535-93A4-769645B3D934}" uniqueName="9" name="robot_idle_nores_ratio" queryTableFieldId="9"/>
    <tableColumn id="10" xr3:uid="{26BB8162-77C2-47F6-9BFC-556280C9062A}" uniqueName="10" name="robot_idle_dynamic" queryTableFieldId="10"/>
    <tableColumn id="11" xr3:uid="{C0B57962-7181-4B18-9754-6C92893FA9C4}" uniqueName="11" name="robot_idle_dynamic_ratio" queryTableFieldId="11"/>
    <tableColumn id="12" xr3:uid="{8A1BE6E0-B355-45A8-A9F9-0D6B7E18E078}" uniqueName="12" name="robot_idle_ratio_diff_nores_minus_dynamic" queryTableFieldId="12"/>
    <tableColumn id="13" xr3:uid="{4126F1C7-5FEA-4B98-B6A7-19A3B942412A}" uniqueName="13" name="robot_nores_idle_ratio_higher" queryTableFieldId="13"/>
    <tableColumn id="14" xr3:uid="{E84B6351-D72F-4A7F-AF73-3DD4B8461642}" uniqueName="14" name="robot_nores_idle_ratio_higher_5pct" queryTableFieldId="14" dataDxfId="413" totalsRowDxfId="412">
      <calculatedColumnFormula>IF(L2&gt;=0.05,1,0)</calculatedColumnFormula>
    </tableColumn>
    <tableColumn id="15" xr3:uid="{B4D83610-EA69-4DE2-A204-0D7FE70E7C08}" uniqueName="15" name="robot_nores_idle_ratio_higher_effect" totalsRowFunction="custom" queryTableFieldId="15" dataDxfId="411">
      <calculatedColumnFormula>IF(idle_time_ratio_summary[[#This Row],[robot_nores_idle_ratio_higher]]=1,idle_time_ratio_summary[[#This Row],[robot_idle_ratio_diff_nores_minus_dynamic]],0)</calculatedColumnFormula>
      <totalsRowFormula>SUBTOTAL(109,idle_time_ratio_summary[robot_nores_idle_ratio_higher_effect])/71</totalsRowFormula>
    </tableColumn>
    <tableColumn id="16" xr3:uid="{2EEC3B7E-00B0-48FA-9899-6E4C048130A8}" uniqueName="16" name="robot_dynamic_idle_ratio_higher_effect" totalsRowFunction="custom" queryTableFieldId="16" dataDxfId="410">
      <calculatedColumnFormula>IF(idle_time_ratio_summary[[#This Row],[robot_nores_idle_ratio_higher]]=0,ABS(idle_time_ratio_summary[[#This Row],[robot_idle_ratio_diff_nores_minus_dynamic]]),0)</calculatedColumnFormula>
      <totalsRowFormula>SUBTOTAL(109,idle_time_ratio_summary[robot_dynamic_idle_ratio_higher_effect])/71</totalsRowFormula>
    </tableColumn>
    <tableColumn id="17" xr3:uid="{1EAC7906-12E2-4CAA-AD6C-320BDF415ED4}" uniqueName="17" name="human_nores_idle_ratio_higher_effect" totalsRowFunction="custom" queryTableFieldId="17" dataDxfId="409">
      <calculatedColumnFormula>IF(idle_time_ratio_summary[[#This Row],[human_idle_ratio_diff_nores_minus_dynamic]]&gt;0,idle_time_ratio_summary[[#This Row],[human_idle_ratio_diff_nores_minus_dynamic]],0)</calculatedColumnFormula>
      <totalsRowFormula>SUBTOTAL(109,idle_time_ratio_summary[human_nores_idle_ratio_higher_effect])/71</totalsRowFormula>
    </tableColumn>
    <tableColumn id="18" xr3:uid="{636DC125-34D8-4D2E-BB8B-1B040415DD38}" uniqueName="18" name="human_nores_idle_ratio_higher2" totalsRowFunction="custom" queryTableFieldId="18" dataDxfId="408">
      <calculatedColumnFormula>IF(idle_time_ratio_summary[[#This Row],[human_idle_ratio_diff_nores_minus_dynamic]]&lt;0,-idle_time_ratio_summary[[#This Row],[human_idle_ratio_diff_nores_minus_dynamic]],0)</calculatedColumnFormula>
      <totalsRowFormula>SUBTOTAL(109,idle_time_ratio_summary[human_nores_idle_ratio_higher2])/71</totalsRowFormula>
    </tableColumn>
    <tableColumn id="21" xr3:uid="{F2C6C8F9-0195-4524-85D0-4EF387ADE6A2}" uniqueName="21" name="human_nores_idle_ratio_higher5pct" totalsRowFunction="sum" queryTableFieldId="21" dataDxfId="407">
      <calculatedColumnFormula>IF(idle_time_ratio_summary[[#This Row],[human_nores_idle_ratio_higher2]]&gt;=0.05,1,0)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64E864-D7B7-4985-8CB6-E995C5412D96}" name="batch_final_timeline_by_case" displayName="batch_final_timeline_by_case" ref="A1:M77" tableType="queryTable" totalsRowShown="0">
  <autoFilter ref="A1:M77" xr:uid="{2B64E864-D7B7-4985-8CB6-E995C5412D96}"/>
  <tableColumns count="13">
    <tableColumn id="1" xr3:uid="{36090234-7DCD-40AE-91B7-5711A28F4F7B}" uniqueName="1" name="case_id" queryTableFieldId="1" dataDxfId="406"/>
    <tableColumn id="2" xr3:uid="{2DA890F1-67C8-4FDA-B7BB-1928383EF3E4}" uniqueName="2" name="num_events" queryTableFieldId="2"/>
    <tableColumn id="3" xr3:uid="{F8BE7258-AD4F-4DB9-9A0F-9225BE1F20F7}" uniqueName="3" name="offline_makespan" queryTableFieldId="3"/>
    <tableColumn id="4" xr3:uid="{0D3C4095-514D-47D4-AB35-A99FF47EF18C}" uniqueName="4" name="final_nores_makespan" queryTableFieldId="4"/>
    <tableColumn id="5" xr3:uid="{5551894E-0732-4780-9E5D-2C20A06D39D2}" uniqueName="5" name="final_dynamic_makespan" queryTableFieldId="5"/>
    <tableColumn id="6" xr3:uid="{738840CA-28EE-416D-8D2A-DB3C8309D3D7}" uniqueName="6" name="final_nores_minus_dynamic" queryTableFieldId="6"/>
    <tableColumn id="7" xr3:uid="{778BB8CE-FD2A-472F-B155-E2B7291A2C9B}" uniqueName="7" name="dynamic_final_better" queryTableFieldId="7"/>
    <tableColumn id="8" xr3:uid="{4CA2D8E4-A42F-4C6E-930D-F1AF5DD5B56C}" uniqueName="8" name="nores_final_better" queryTableFieldId="8"/>
    <tableColumn id="9" xr3:uid="{AC36782A-093E-4A5F-98EF-097F222E2E32}" uniqueName="9" name="tie" queryTableFieldId="9"/>
    <tableColumn id="10" xr3:uid="{223E53B6-CD69-41FD-9118-02AE13B8868E}" uniqueName="10" name="comparison_rule" queryTableFieldId="14" dataDxfId="405"/>
    <tableColumn id="11" xr3:uid="{2817A626-7409-461C-A5AC-94F66CA15705}" uniqueName="11" name="tie_tolerance_seconds" queryTableFieldId="15"/>
    <tableColumn id="12" xr3:uid="{1176CD43-349F-423E-9D95-BA6226A2190A}" uniqueName="12" name="final_comparison_png" queryTableFieldId="16" dataDxfId="404"/>
    <tableColumn id="13" xr3:uid="{EBBD2A21-E614-4009-8292-8AB907EF28F8}" uniqueName="13" name="output_dir" queryTableFieldId="17" dataDxfId="40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E6592-E6E1-4E76-BD5E-9FE4532773D6}">
  <dimension ref="A1:S79"/>
  <sheetViews>
    <sheetView topLeftCell="C70" workbookViewId="0">
      <selection activeCell="S44" sqref="S44"/>
    </sheetView>
  </sheetViews>
  <sheetFormatPr defaultRowHeight="16.5" x14ac:dyDescent="0.25"/>
  <cols>
    <col min="1" max="1" width="17.25" bestFit="1" customWidth="1"/>
    <col min="2" max="2" width="9.625" customWidth="1"/>
    <col min="3" max="3" width="13.25" customWidth="1"/>
    <col min="4" max="4" width="8.875" customWidth="1"/>
    <col min="5" max="5" width="10.125" customWidth="1"/>
    <col min="6" max="6" width="13.125" customWidth="1"/>
    <col min="7" max="7" width="14.875" customWidth="1"/>
    <col min="8" max="8" width="10.5" customWidth="1"/>
    <col min="9" max="9" width="9.625" customWidth="1"/>
    <col min="10" max="10" width="11" customWidth="1"/>
    <col min="11" max="11" width="12.25" customWidth="1"/>
    <col min="12" max="12" width="15.5" customWidth="1"/>
    <col min="13" max="13" width="33.125" bestFit="1" customWidth="1"/>
    <col min="14" max="14" width="18.75" customWidth="1"/>
  </cols>
  <sheetData>
    <row r="1" spans="1:19" x14ac:dyDescent="0.25">
      <c r="A1" t="s">
        <v>0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304</v>
      </c>
      <c r="N1" t="s">
        <v>305</v>
      </c>
      <c r="O1" t="s">
        <v>316</v>
      </c>
      <c r="P1" t="s">
        <v>318</v>
      </c>
      <c r="Q1" t="s">
        <v>319</v>
      </c>
      <c r="R1" t="s">
        <v>317</v>
      </c>
      <c r="S1" t="s">
        <v>320</v>
      </c>
    </row>
    <row r="2" spans="1:19" x14ac:dyDescent="0.25">
      <c r="A2" t="s">
        <v>23</v>
      </c>
      <c r="B2">
        <v>2.59</v>
      </c>
      <c r="C2">
        <v>0.03</v>
      </c>
      <c r="D2">
        <v>3.94</v>
      </c>
      <c r="E2">
        <v>0.05</v>
      </c>
      <c r="F2">
        <v>-0.02</v>
      </c>
      <c r="G2">
        <v>0</v>
      </c>
      <c r="H2">
        <v>29.38</v>
      </c>
      <c r="I2">
        <v>0.37</v>
      </c>
      <c r="J2">
        <v>22.64</v>
      </c>
      <c r="K2">
        <v>0.31</v>
      </c>
      <c r="L2">
        <v>0.06</v>
      </c>
      <c r="M2">
        <v>1</v>
      </c>
      <c r="N2">
        <f t="shared" ref="N2:N33" si="0">IF(L2&gt;=0.05,1,0)</f>
        <v>1</v>
      </c>
      <c r="O2">
        <f>IF(idle_time_ratio_summary[[#This Row],[robot_nores_idle_ratio_higher]]=1,idle_time_ratio_summary[[#This Row],[robot_idle_ratio_diff_nores_minus_dynamic]],0)</f>
        <v>0.06</v>
      </c>
      <c r="P2">
        <f>IF(idle_time_ratio_summary[[#This Row],[robot_nores_idle_ratio_higher]]=0,ABS(idle_time_ratio_summary[[#This Row],[robot_idle_ratio_diff_nores_minus_dynamic]]),0)</f>
        <v>0</v>
      </c>
      <c r="Q2">
        <f>IF(idle_time_ratio_summary[[#This Row],[human_idle_ratio_diff_nores_minus_dynamic]]&gt;0,idle_time_ratio_summary[[#This Row],[human_idle_ratio_diff_nores_minus_dynamic]],0)</f>
        <v>0</v>
      </c>
      <c r="R2">
        <f>IF(idle_time_ratio_summary[[#This Row],[human_idle_ratio_diff_nores_minus_dynamic]]&lt;0,-idle_time_ratio_summary[[#This Row],[human_idle_ratio_diff_nores_minus_dynamic]],0)</f>
        <v>0.02</v>
      </c>
      <c r="S2">
        <f>IF(idle_time_ratio_summary[[#This Row],[human_nores_idle_ratio_higher2]]&gt;=0.05,1,0)</f>
        <v>0</v>
      </c>
    </row>
    <row r="3" spans="1:19" x14ac:dyDescent="0.25">
      <c r="A3" t="s">
        <v>28</v>
      </c>
      <c r="B3">
        <v>3.21</v>
      </c>
      <c r="C3">
        <v>0.04</v>
      </c>
      <c r="D3">
        <v>5.26</v>
      </c>
      <c r="E3">
        <v>7.0000000000000007E-2</v>
      </c>
      <c r="F3">
        <v>-0.03</v>
      </c>
      <c r="G3">
        <v>0</v>
      </c>
      <c r="H3">
        <v>29.16</v>
      </c>
      <c r="I3">
        <v>0.36</v>
      </c>
      <c r="J3">
        <v>23.09</v>
      </c>
      <c r="K3">
        <v>0.31</v>
      </c>
      <c r="L3">
        <v>0.05</v>
      </c>
      <c r="M3">
        <v>1</v>
      </c>
      <c r="N3">
        <f t="shared" si="0"/>
        <v>1</v>
      </c>
      <c r="O3">
        <f>IF(idle_time_ratio_summary[[#This Row],[robot_nores_idle_ratio_higher]]=1,idle_time_ratio_summary[[#This Row],[robot_idle_ratio_diff_nores_minus_dynamic]],0)</f>
        <v>0.05</v>
      </c>
      <c r="P3">
        <f>IF(idle_time_ratio_summary[[#This Row],[robot_nores_idle_ratio_higher]]=0,ABS(idle_time_ratio_summary[[#This Row],[robot_idle_ratio_diff_nores_minus_dynamic]]),0)</f>
        <v>0</v>
      </c>
      <c r="Q3">
        <f>IF(idle_time_ratio_summary[[#This Row],[human_idle_ratio_diff_nores_minus_dynamic]]&gt;0,idle_time_ratio_summary[[#This Row],[human_idle_ratio_diff_nores_minus_dynamic]],0)</f>
        <v>0</v>
      </c>
      <c r="R3">
        <f>IF(idle_time_ratio_summary[[#This Row],[human_idle_ratio_diff_nores_minus_dynamic]]&lt;0,-idle_time_ratio_summary[[#This Row],[human_idle_ratio_diff_nores_minus_dynamic]],0)</f>
        <v>0.03</v>
      </c>
      <c r="S3">
        <f>IF(idle_time_ratio_summary[[#This Row],[human_nores_idle_ratio_higher2]]&gt;=0.05,1,0)</f>
        <v>0</v>
      </c>
    </row>
    <row r="4" spans="1:19" x14ac:dyDescent="0.25">
      <c r="A4" t="s">
        <v>29</v>
      </c>
      <c r="B4">
        <v>2.9</v>
      </c>
      <c r="C4">
        <v>0.03</v>
      </c>
      <c r="D4">
        <v>3.37</v>
      </c>
      <c r="E4">
        <v>0.04</v>
      </c>
      <c r="F4">
        <v>-0.01</v>
      </c>
      <c r="G4">
        <v>0</v>
      </c>
      <c r="H4">
        <v>46.26</v>
      </c>
      <c r="I4">
        <v>0.48</v>
      </c>
      <c r="J4">
        <v>41.13</v>
      </c>
      <c r="K4">
        <v>0.45</v>
      </c>
      <c r="L4">
        <v>0.03</v>
      </c>
      <c r="M4">
        <v>1</v>
      </c>
      <c r="N4">
        <f t="shared" si="0"/>
        <v>0</v>
      </c>
      <c r="O4">
        <f>IF(idle_time_ratio_summary[[#This Row],[robot_nores_idle_ratio_higher]]=1,idle_time_ratio_summary[[#This Row],[robot_idle_ratio_diff_nores_minus_dynamic]],0)</f>
        <v>0.03</v>
      </c>
      <c r="P4">
        <f>IF(idle_time_ratio_summary[[#This Row],[robot_nores_idle_ratio_higher]]=0,ABS(idle_time_ratio_summary[[#This Row],[robot_idle_ratio_diff_nores_minus_dynamic]]),0)</f>
        <v>0</v>
      </c>
      <c r="Q4">
        <f>IF(idle_time_ratio_summary[[#This Row],[human_idle_ratio_diff_nores_minus_dynamic]]&gt;0,idle_time_ratio_summary[[#This Row],[human_idle_ratio_diff_nores_minus_dynamic]],0)</f>
        <v>0</v>
      </c>
      <c r="R4">
        <f>IF(idle_time_ratio_summary[[#This Row],[human_idle_ratio_diff_nores_minus_dynamic]]&lt;0,-idle_time_ratio_summary[[#This Row],[human_idle_ratio_diff_nores_minus_dynamic]],0)</f>
        <v>0.01</v>
      </c>
      <c r="S4">
        <f>IF(idle_time_ratio_summary[[#This Row],[human_nores_idle_ratio_higher2]]&gt;=0.05,1,0)</f>
        <v>0</v>
      </c>
    </row>
    <row r="5" spans="1:19" x14ac:dyDescent="0.25">
      <c r="A5" t="s">
        <v>30</v>
      </c>
      <c r="B5">
        <v>3.79</v>
      </c>
      <c r="C5">
        <v>0.05</v>
      </c>
      <c r="D5">
        <v>11.8</v>
      </c>
      <c r="E5">
        <v>0.16</v>
      </c>
      <c r="F5">
        <v>-0.11</v>
      </c>
      <c r="G5">
        <v>0</v>
      </c>
      <c r="H5">
        <v>24.49</v>
      </c>
      <c r="I5">
        <v>0.32</v>
      </c>
      <c r="J5">
        <v>14.94</v>
      </c>
      <c r="K5">
        <v>0.2</v>
      </c>
      <c r="L5">
        <v>0.12</v>
      </c>
      <c r="M5">
        <v>1</v>
      </c>
      <c r="N5">
        <f t="shared" si="0"/>
        <v>1</v>
      </c>
      <c r="O5">
        <f>IF(idle_time_ratio_summary[[#This Row],[robot_nores_idle_ratio_higher]]=1,idle_time_ratio_summary[[#This Row],[robot_idle_ratio_diff_nores_minus_dynamic]],0)</f>
        <v>0.12</v>
      </c>
      <c r="P5">
        <f>IF(idle_time_ratio_summary[[#This Row],[robot_nores_idle_ratio_higher]]=0,ABS(idle_time_ratio_summary[[#This Row],[robot_idle_ratio_diff_nores_minus_dynamic]]),0)</f>
        <v>0</v>
      </c>
      <c r="Q5">
        <f>IF(idle_time_ratio_summary[[#This Row],[human_idle_ratio_diff_nores_minus_dynamic]]&gt;0,idle_time_ratio_summary[[#This Row],[human_idle_ratio_diff_nores_minus_dynamic]],0)</f>
        <v>0</v>
      </c>
      <c r="R5">
        <f>IF(idle_time_ratio_summary[[#This Row],[human_idle_ratio_diff_nores_minus_dynamic]]&lt;0,-idle_time_ratio_summary[[#This Row],[human_idle_ratio_diff_nores_minus_dynamic]],0)</f>
        <v>0.11</v>
      </c>
      <c r="S5">
        <f>IF(idle_time_ratio_summary[[#This Row],[human_nores_idle_ratio_higher2]]&gt;=0.05,1,0)</f>
        <v>1</v>
      </c>
    </row>
    <row r="6" spans="1:19" x14ac:dyDescent="0.25">
      <c r="A6" t="s">
        <v>31</v>
      </c>
      <c r="B6">
        <v>2.12</v>
      </c>
      <c r="C6">
        <v>0.02</v>
      </c>
      <c r="D6">
        <v>2.61</v>
      </c>
      <c r="E6">
        <v>0.03</v>
      </c>
      <c r="F6">
        <v>-0.01</v>
      </c>
      <c r="G6">
        <v>0</v>
      </c>
      <c r="H6">
        <v>44.41</v>
      </c>
      <c r="I6">
        <v>0.46</v>
      </c>
      <c r="J6">
        <v>24.7</v>
      </c>
      <c r="K6">
        <v>0.28999999999999998</v>
      </c>
      <c r="L6">
        <v>0.17</v>
      </c>
      <c r="M6">
        <v>1</v>
      </c>
      <c r="N6">
        <f t="shared" si="0"/>
        <v>1</v>
      </c>
      <c r="O6">
        <f>IF(idle_time_ratio_summary[[#This Row],[robot_nores_idle_ratio_higher]]=1,idle_time_ratio_summary[[#This Row],[robot_idle_ratio_diff_nores_minus_dynamic]],0)</f>
        <v>0.17</v>
      </c>
      <c r="P6">
        <f>IF(idle_time_ratio_summary[[#This Row],[robot_nores_idle_ratio_higher]]=0,ABS(idle_time_ratio_summary[[#This Row],[robot_idle_ratio_diff_nores_minus_dynamic]]),0)</f>
        <v>0</v>
      </c>
      <c r="Q6">
        <f>IF(idle_time_ratio_summary[[#This Row],[human_idle_ratio_diff_nores_minus_dynamic]]&gt;0,idle_time_ratio_summary[[#This Row],[human_idle_ratio_diff_nores_minus_dynamic]],0)</f>
        <v>0</v>
      </c>
      <c r="R6">
        <f>IF(idle_time_ratio_summary[[#This Row],[human_idle_ratio_diff_nores_minus_dynamic]]&lt;0,-idle_time_ratio_summary[[#This Row],[human_idle_ratio_diff_nores_minus_dynamic]],0)</f>
        <v>0.01</v>
      </c>
      <c r="S6">
        <f>IF(idle_time_ratio_summary[[#This Row],[human_nores_idle_ratio_higher2]]&gt;=0.05,1,0)</f>
        <v>0</v>
      </c>
    </row>
    <row r="7" spans="1:19" x14ac:dyDescent="0.25">
      <c r="A7" t="s">
        <v>32</v>
      </c>
      <c r="B7">
        <v>0.73</v>
      </c>
      <c r="C7">
        <v>0.01</v>
      </c>
      <c r="D7">
        <v>9.4600000000000009</v>
      </c>
      <c r="E7">
        <v>0.11</v>
      </c>
      <c r="F7">
        <v>-0.1</v>
      </c>
      <c r="G7">
        <v>0</v>
      </c>
      <c r="H7">
        <v>33.21</v>
      </c>
      <c r="I7">
        <v>0.39</v>
      </c>
      <c r="J7">
        <v>24.08</v>
      </c>
      <c r="K7">
        <v>0.28999999999999998</v>
      </c>
      <c r="L7">
        <v>0.1</v>
      </c>
      <c r="M7">
        <v>1</v>
      </c>
      <c r="N7">
        <f t="shared" si="0"/>
        <v>1</v>
      </c>
      <c r="O7">
        <f>IF(idle_time_ratio_summary[[#This Row],[robot_nores_idle_ratio_higher]]=1,idle_time_ratio_summary[[#This Row],[robot_idle_ratio_diff_nores_minus_dynamic]],0)</f>
        <v>0.1</v>
      </c>
      <c r="P7">
        <f>IF(idle_time_ratio_summary[[#This Row],[robot_nores_idle_ratio_higher]]=0,ABS(idle_time_ratio_summary[[#This Row],[robot_idle_ratio_diff_nores_minus_dynamic]]),0)</f>
        <v>0</v>
      </c>
      <c r="Q7">
        <f>IF(idle_time_ratio_summary[[#This Row],[human_idle_ratio_diff_nores_minus_dynamic]]&gt;0,idle_time_ratio_summary[[#This Row],[human_idle_ratio_diff_nores_minus_dynamic]],0)</f>
        <v>0</v>
      </c>
      <c r="R7">
        <f>IF(idle_time_ratio_summary[[#This Row],[human_idle_ratio_diff_nores_minus_dynamic]]&lt;0,-idle_time_ratio_summary[[#This Row],[human_idle_ratio_diff_nores_minus_dynamic]],0)</f>
        <v>0.1</v>
      </c>
      <c r="S7">
        <f>IF(idle_time_ratio_summary[[#This Row],[human_nores_idle_ratio_higher2]]&gt;=0.05,1,0)</f>
        <v>1</v>
      </c>
    </row>
    <row r="8" spans="1:19" x14ac:dyDescent="0.25">
      <c r="A8" t="s">
        <v>33</v>
      </c>
      <c r="B8">
        <v>3.39</v>
      </c>
      <c r="C8">
        <v>0.04</v>
      </c>
      <c r="D8">
        <v>17.2</v>
      </c>
      <c r="E8">
        <v>0.2</v>
      </c>
      <c r="F8">
        <v>-0.16</v>
      </c>
      <c r="G8">
        <v>0</v>
      </c>
      <c r="H8">
        <v>28.19</v>
      </c>
      <c r="I8">
        <v>0.36</v>
      </c>
      <c r="J8">
        <v>16.79</v>
      </c>
      <c r="K8">
        <v>0.2</v>
      </c>
      <c r="L8">
        <v>0.16</v>
      </c>
      <c r="M8">
        <v>1</v>
      </c>
      <c r="N8">
        <f t="shared" si="0"/>
        <v>1</v>
      </c>
      <c r="O8">
        <f>IF(idle_time_ratio_summary[[#This Row],[robot_nores_idle_ratio_higher]]=1,idle_time_ratio_summary[[#This Row],[robot_idle_ratio_diff_nores_minus_dynamic]],0)</f>
        <v>0.16</v>
      </c>
      <c r="P8">
        <f>IF(idle_time_ratio_summary[[#This Row],[robot_nores_idle_ratio_higher]]=0,ABS(idle_time_ratio_summary[[#This Row],[robot_idle_ratio_diff_nores_minus_dynamic]]),0)</f>
        <v>0</v>
      </c>
      <c r="Q8">
        <f>IF(idle_time_ratio_summary[[#This Row],[human_idle_ratio_diff_nores_minus_dynamic]]&gt;0,idle_time_ratio_summary[[#This Row],[human_idle_ratio_diff_nores_minus_dynamic]],0)</f>
        <v>0</v>
      </c>
      <c r="R8">
        <f>IF(idle_time_ratio_summary[[#This Row],[human_idle_ratio_diff_nores_minus_dynamic]]&lt;0,-idle_time_ratio_summary[[#This Row],[human_idle_ratio_diff_nores_minus_dynamic]],0)</f>
        <v>0.16</v>
      </c>
      <c r="S8">
        <f>IF(idle_time_ratio_summary[[#This Row],[human_nores_idle_ratio_higher2]]&gt;=0.05,1,0)</f>
        <v>1</v>
      </c>
    </row>
    <row r="9" spans="1:19" x14ac:dyDescent="0.25">
      <c r="A9" t="s">
        <v>34</v>
      </c>
      <c r="B9">
        <v>7.19</v>
      </c>
      <c r="C9">
        <v>0.1</v>
      </c>
      <c r="D9">
        <v>6.16</v>
      </c>
      <c r="E9">
        <v>0.09</v>
      </c>
      <c r="F9">
        <v>0.01</v>
      </c>
      <c r="G9">
        <v>1</v>
      </c>
      <c r="H9">
        <v>18.77</v>
      </c>
      <c r="I9">
        <v>0.27</v>
      </c>
      <c r="J9">
        <v>17.72</v>
      </c>
      <c r="K9">
        <v>0.26</v>
      </c>
      <c r="L9">
        <v>0.01</v>
      </c>
      <c r="M9">
        <v>1</v>
      </c>
      <c r="N9">
        <f t="shared" si="0"/>
        <v>0</v>
      </c>
      <c r="O9">
        <f>IF(idle_time_ratio_summary[[#This Row],[robot_nores_idle_ratio_higher]]=1,idle_time_ratio_summary[[#This Row],[robot_idle_ratio_diff_nores_minus_dynamic]],0)</f>
        <v>0.01</v>
      </c>
      <c r="P9">
        <f>IF(idle_time_ratio_summary[[#This Row],[robot_nores_idle_ratio_higher]]=0,ABS(idle_time_ratio_summary[[#This Row],[robot_idle_ratio_diff_nores_minus_dynamic]]),0)</f>
        <v>0</v>
      </c>
      <c r="Q9">
        <f>IF(idle_time_ratio_summary[[#This Row],[human_idle_ratio_diff_nores_minus_dynamic]]&gt;0,idle_time_ratio_summary[[#This Row],[human_idle_ratio_diff_nores_minus_dynamic]],0)</f>
        <v>0.01</v>
      </c>
      <c r="R9">
        <f>IF(idle_time_ratio_summary[[#This Row],[human_idle_ratio_diff_nores_minus_dynamic]]&lt;0,-idle_time_ratio_summary[[#This Row],[human_idle_ratio_diff_nores_minus_dynamic]],0)</f>
        <v>0</v>
      </c>
      <c r="S9">
        <f>IF(idle_time_ratio_summary[[#This Row],[human_nores_idle_ratio_higher2]]&gt;=0.05,1,0)</f>
        <v>0</v>
      </c>
    </row>
    <row r="10" spans="1:19" x14ac:dyDescent="0.25">
      <c r="A10" t="s">
        <v>35</v>
      </c>
      <c r="B10">
        <v>6.09</v>
      </c>
      <c r="C10">
        <v>0.09</v>
      </c>
      <c r="D10">
        <v>4.22</v>
      </c>
      <c r="E10">
        <v>0.06</v>
      </c>
      <c r="F10">
        <v>0.03</v>
      </c>
      <c r="G10">
        <v>1</v>
      </c>
      <c r="H10">
        <v>16.88</v>
      </c>
      <c r="I10">
        <v>0.25</v>
      </c>
      <c r="J10">
        <v>14.98</v>
      </c>
      <c r="K10">
        <v>0.23</v>
      </c>
      <c r="L10">
        <v>0.02</v>
      </c>
      <c r="M10">
        <v>1</v>
      </c>
      <c r="N10">
        <f t="shared" si="0"/>
        <v>0</v>
      </c>
      <c r="O10">
        <f>IF(idle_time_ratio_summary[[#This Row],[robot_nores_idle_ratio_higher]]=1,idle_time_ratio_summary[[#This Row],[robot_idle_ratio_diff_nores_minus_dynamic]],0)</f>
        <v>0.02</v>
      </c>
      <c r="P10">
        <f>IF(idle_time_ratio_summary[[#This Row],[robot_nores_idle_ratio_higher]]=0,ABS(idle_time_ratio_summary[[#This Row],[robot_idle_ratio_diff_nores_minus_dynamic]]),0)</f>
        <v>0</v>
      </c>
      <c r="Q10">
        <f>IF(idle_time_ratio_summary[[#This Row],[human_idle_ratio_diff_nores_minus_dynamic]]&gt;0,idle_time_ratio_summary[[#This Row],[human_idle_ratio_diff_nores_minus_dynamic]],0)</f>
        <v>0.03</v>
      </c>
      <c r="R10">
        <f>IF(idle_time_ratio_summary[[#This Row],[human_idle_ratio_diff_nores_minus_dynamic]]&lt;0,-idle_time_ratio_summary[[#This Row],[human_idle_ratio_diff_nores_minus_dynamic]],0)</f>
        <v>0</v>
      </c>
      <c r="S10">
        <f>IF(idle_time_ratio_summary[[#This Row],[human_nores_idle_ratio_higher2]]&gt;=0.05,1,0)</f>
        <v>0</v>
      </c>
    </row>
    <row r="11" spans="1:19" x14ac:dyDescent="0.25">
      <c r="A11" t="s">
        <v>36</v>
      </c>
      <c r="B11">
        <v>8.4700000000000006</v>
      </c>
      <c r="C11">
        <v>0.12</v>
      </c>
      <c r="D11">
        <v>7.25</v>
      </c>
      <c r="E11">
        <v>0.11</v>
      </c>
      <c r="F11">
        <v>0.01</v>
      </c>
      <c r="G11">
        <v>1</v>
      </c>
      <c r="H11">
        <v>16.79</v>
      </c>
      <c r="I11">
        <v>0.25</v>
      </c>
      <c r="J11">
        <v>15.52</v>
      </c>
      <c r="K11">
        <v>0.23</v>
      </c>
      <c r="L11">
        <v>0.02</v>
      </c>
      <c r="M11">
        <v>1</v>
      </c>
      <c r="N11">
        <f t="shared" si="0"/>
        <v>0</v>
      </c>
      <c r="O11">
        <f>IF(idle_time_ratio_summary[[#This Row],[robot_nores_idle_ratio_higher]]=1,idle_time_ratio_summary[[#This Row],[robot_idle_ratio_diff_nores_minus_dynamic]],0)</f>
        <v>0.02</v>
      </c>
      <c r="P11">
        <f>IF(idle_time_ratio_summary[[#This Row],[robot_nores_idle_ratio_higher]]=0,ABS(idle_time_ratio_summary[[#This Row],[robot_idle_ratio_diff_nores_minus_dynamic]]),0)</f>
        <v>0</v>
      </c>
      <c r="Q11">
        <f>IF(idle_time_ratio_summary[[#This Row],[human_idle_ratio_diff_nores_minus_dynamic]]&gt;0,idle_time_ratio_summary[[#This Row],[human_idle_ratio_diff_nores_minus_dynamic]],0)</f>
        <v>0.01</v>
      </c>
      <c r="R11">
        <f>IF(idle_time_ratio_summary[[#This Row],[human_idle_ratio_diff_nores_minus_dynamic]]&lt;0,-idle_time_ratio_summary[[#This Row],[human_idle_ratio_diff_nores_minus_dynamic]],0)</f>
        <v>0</v>
      </c>
      <c r="S11">
        <f>IF(idle_time_ratio_summary[[#This Row],[human_nores_idle_ratio_higher2]]&gt;=0.05,1,0)</f>
        <v>0</v>
      </c>
    </row>
    <row r="12" spans="1:19" x14ac:dyDescent="0.25">
      <c r="A12" t="s">
        <v>37</v>
      </c>
      <c r="B12">
        <v>4.8499999999999996</v>
      </c>
      <c r="C12">
        <v>7.0000000000000007E-2</v>
      </c>
      <c r="D12">
        <v>6.35</v>
      </c>
      <c r="E12">
        <v>0.09</v>
      </c>
      <c r="F12">
        <v>-0.02</v>
      </c>
      <c r="G12">
        <v>0</v>
      </c>
      <c r="H12">
        <v>20.18</v>
      </c>
      <c r="I12">
        <v>0.28000000000000003</v>
      </c>
      <c r="J12">
        <v>18.57</v>
      </c>
      <c r="K12">
        <v>0.27</v>
      </c>
      <c r="L12">
        <v>0.01</v>
      </c>
      <c r="M12">
        <v>1</v>
      </c>
      <c r="N12">
        <f t="shared" si="0"/>
        <v>0</v>
      </c>
      <c r="O12">
        <f>IF(idle_time_ratio_summary[[#This Row],[robot_nores_idle_ratio_higher]]=1,idle_time_ratio_summary[[#This Row],[robot_idle_ratio_diff_nores_minus_dynamic]],0)</f>
        <v>0.01</v>
      </c>
      <c r="P12">
        <f>IF(idle_time_ratio_summary[[#This Row],[robot_nores_idle_ratio_higher]]=0,ABS(idle_time_ratio_summary[[#This Row],[robot_idle_ratio_diff_nores_minus_dynamic]]),0)</f>
        <v>0</v>
      </c>
      <c r="Q12">
        <f>IF(idle_time_ratio_summary[[#This Row],[human_idle_ratio_diff_nores_minus_dynamic]]&gt;0,idle_time_ratio_summary[[#This Row],[human_idle_ratio_diff_nores_minus_dynamic]],0)</f>
        <v>0</v>
      </c>
      <c r="R12">
        <f>IF(idle_time_ratio_summary[[#This Row],[human_idle_ratio_diff_nores_minus_dynamic]]&lt;0,-idle_time_ratio_summary[[#This Row],[human_idle_ratio_diff_nores_minus_dynamic]],0)</f>
        <v>0.02</v>
      </c>
      <c r="S12">
        <f>IF(idle_time_ratio_summary[[#This Row],[human_nores_idle_ratio_higher2]]&gt;=0.05,1,0)</f>
        <v>0</v>
      </c>
    </row>
    <row r="13" spans="1:19" x14ac:dyDescent="0.25">
      <c r="A13" t="s">
        <v>38</v>
      </c>
      <c r="B13">
        <v>0</v>
      </c>
      <c r="C13">
        <v>0</v>
      </c>
      <c r="D13">
        <v>0.53</v>
      </c>
      <c r="E13">
        <v>0.01</v>
      </c>
      <c r="F13">
        <v>-0.01</v>
      </c>
      <c r="G13">
        <v>0</v>
      </c>
      <c r="H13">
        <v>51.62</v>
      </c>
      <c r="I13">
        <v>0.5</v>
      </c>
      <c r="J13">
        <v>41.33</v>
      </c>
      <c r="K13">
        <v>0.45</v>
      </c>
      <c r="L13">
        <v>0.05</v>
      </c>
      <c r="M13">
        <v>1</v>
      </c>
      <c r="N13">
        <f t="shared" si="0"/>
        <v>1</v>
      </c>
      <c r="O13">
        <f>IF(idle_time_ratio_summary[[#This Row],[robot_nores_idle_ratio_higher]]=1,idle_time_ratio_summary[[#This Row],[robot_idle_ratio_diff_nores_minus_dynamic]],0)</f>
        <v>0.05</v>
      </c>
      <c r="P13">
        <f>IF(idle_time_ratio_summary[[#This Row],[robot_nores_idle_ratio_higher]]=0,ABS(idle_time_ratio_summary[[#This Row],[robot_idle_ratio_diff_nores_minus_dynamic]]),0)</f>
        <v>0</v>
      </c>
      <c r="Q13">
        <f>IF(idle_time_ratio_summary[[#This Row],[human_idle_ratio_diff_nores_minus_dynamic]]&gt;0,idle_time_ratio_summary[[#This Row],[human_idle_ratio_diff_nores_minus_dynamic]],0)</f>
        <v>0</v>
      </c>
      <c r="R13">
        <f>IF(idle_time_ratio_summary[[#This Row],[human_idle_ratio_diff_nores_minus_dynamic]]&lt;0,-idle_time_ratio_summary[[#This Row],[human_idle_ratio_diff_nores_minus_dynamic]],0)</f>
        <v>0.01</v>
      </c>
      <c r="S13">
        <f>IF(idle_time_ratio_summary[[#This Row],[human_nores_idle_ratio_higher2]]&gt;=0.05,1,0)</f>
        <v>0</v>
      </c>
    </row>
    <row r="14" spans="1:19" x14ac:dyDescent="0.25">
      <c r="A14" t="s">
        <v>39</v>
      </c>
      <c r="B14">
        <v>0</v>
      </c>
      <c r="C14">
        <v>0</v>
      </c>
      <c r="D14">
        <v>17.34</v>
      </c>
      <c r="E14">
        <v>0.12</v>
      </c>
      <c r="F14">
        <v>-0.12</v>
      </c>
      <c r="G14">
        <v>0</v>
      </c>
      <c r="H14">
        <v>94.16</v>
      </c>
      <c r="I14">
        <v>0.65</v>
      </c>
      <c r="J14">
        <v>60.99</v>
      </c>
      <c r="K14">
        <v>0.41</v>
      </c>
      <c r="L14">
        <v>0.24</v>
      </c>
      <c r="M14">
        <v>1</v>
      </c>
      <c r="N14">
        <f t="shared" si="0"/>
        <v>1</v>
      </c>
      <c r="O14">
        <f>IF(idle_time_ratio_summary[[#This Row],[robot_nores_idle_ratio_higher]]=1,idle_time_ratio_summary[[#This Row],[robot_idle_ratio_diff_nores_minus_dynamic]],0)</f>
        <v>0.24</v>
      </c>
      <c r="P14">
        <f>IF(idle_time_ratio_summary[[#This Row],[robot_nores_idle_ratio_higher]]=0,ABS(idle_time_ratio_summary[[#This Row],[robot_idle_ratio_diff_nores_minus_dynamic]]),0)</f>
        <v>0</v>
      </c>
      <c r="Q14">
        <f>IF(idle_time_ratio_summary[[#This Row],[human_idle_ratio_diff_nores_minus_dynamic]]&gt;0,idle_time_ratio_summary[[#This Row],[human_idle_ratio_diff_nores_minus_dynamic]],0)</f>
        <v>0</v>
      </c>
      <c r="R14">
        <f>IF(idle_time_ratio_summary[[#This Row],[human_idle_ratio_diff_nores_minus_dynamic]]&lt;0,-idle_time_ratio_summary[[#This Row],[human_idle_ratio_diff_nores_minus_dynamic]],0)</f>
        <v>0.12</v>
      </c>
      <c r="S14">
        <f>IF(idle_time_ratio_summary[[#This Row],[human_nores_idle_ratio_higher2]]&gt;=0.05,1,0)</f>
        <v>1</v>
      </c>
    </row>
    <row r="15" spans="1:19" x14ac:dyDescent="0.25">
      <c r="A15" t="s">
        <v>40</v>
      </c>
      <c r="B15">
        <v>0</v>
      </c>
      <c r="C15">
        <v>0</v>
      </c>
      <c r="D15">
        <v>0.64</v>
      </c>
      <c r="E15">
        <v>0</v>
      </c>
      <c r="F15">
        <v>0</v>
      </c>
      <c r="G15">
        <v>0</v>
      </c>
      <c r="H15">
        <v>118.82</v>
      </c>
      <c r="I15">
        <v>0.7</v>
      </c>
      <c r="J15">
        <v>105.98</v>
      </c>
      <c r="K15">
        <v>0.63</v>
      </c>
      <c r="L15">
        <v>7.0000000000000007E-2</v>
      </c>
      <c r="M15">
        <v>1</v>
      </c>
      <c r="N15">
        <f t="shared" si="0"/>
        <v>1</v>
      </c>
      <c r="O15">
        <f>IF(idle_time_ratio_summary[[#This Row],[robot_nores_idle_ratio_higher]]=1,idle_time_ratio_summary[[#This Row],[robot_idle_ratio_diff_nores_minus_dynamic]],0)</f>
        <v>7.0000000000000007E-2</v>
      </c>
      <c r="P15">
        <f>IF(idle_time_ratio_summary[[#This Row],[robot_nores_idle_ratio_higher]]=0,ABS(idle_time_ratio_summary[[#This Row],[robot_idle_ratio_diff_nores_minus_dynamic]]),0)</f>
        <v>0</v>
      </c>
      <c r="Q15">
        <f>IF(idle_time_ratio_summary[[#This Row],[human_idle_ratio_diff_nores_minus_dynamic]]&gt;0,idle_time_ratio_summary[[#This Row],[human_idle_ratio_diff_nores_minus_dynamic]],0)</f>
        <v>0</v>
      </c>
      <c r="R15">
        <f>IF(idle_time_ratio_summary[[#This Row],[human_idle_ratio_diff_nores_minus_dynamic]]&lt;0,-idle_time_ratio_summary[[#This Row],[human_idle_ratio_diff_nores_minus_dynamic]],0)</f>
        <v>0</v>
      </c>
      <c r="S15">
        <f>IF(idle_time_ratio_summary[[#This Row],[human_nores_idle_ratio_higher2]]&gt;=0.05,1,0)</f>
        <v>0</v>
      </c>
    </row>
    <row r="16" spans="1:19" x14ac:dyDescent="0.25">
      <c r="A16" t="s">
        <v>41</v>
      </c>
      <c r="B16">
        <v>0</v>
      </c>
      <c r="C16">
        <v>0</v>
      </c>
      <c r="D16">
        <v>3.54</v>
      </c>
      <c r="E16">
        <v>0.04</v>
      </c>
      <c r="F16">
        <v>-0.04</v>
      </c>
      <c r="G16">
        <v>0</v>
      </c>
      <c r="H16">
        <v>34.89</v>
      </c>
      <c r="I16">
        <v>0.41</v>
      </c>
      <c r="J16">
        <v>24.72</v>
      </c>
      <c r="K16">
        <v>0.28999999999999998</v>
      </c>
      <c r="L16">
        <v>0.12</v>
      </c>
      <c r="M16">
        <v>1</v>
      </c>
      <c r="N16">
        <f t="shared" si="0"/>
        <v>1</v>
      </c>
      <c r="O16">
        <f>IF(idle_time_ratio_summary[[#This Row],[robot_nores_idle_ratio_higher]]=1,idle_time_ratio_summary[[#This Row],[robot_idle_ratio_diff_nores_minus_dynamic]],0)</f>
        <v>0.12</v>
      </c>
      <c r="P16">
        <f>IF(idle_time_ratio_summary[[#This Row],[robot_nores_idle_ratio_higher]]=0,ABS(idle_time_ratio_summary[[#This Row],[robot_idle_ratio_diff_nores_minus_dynamic]]),0)</f>
        <v>0</v>
      </c>
      <c r="Q16">
        <f>IF(idle_time_ratio_summary[[#This Row],[human_idle_ratio_diff_nores_minus_dynamic]]&gt;0,idle_time_ratio_summary[[#This Row],[human_idle_ratio_diff_nores_minus_dynamic]],0)</f>
        <v>0</v>
      </c>
      <c r="R16">
        <f>IF(idle_time_ratio_summary[[#This Row],[human_idle_ratio_diff_nores_minus_dynamic]]&lt;0,-idle_time_ratio_summary[[#This Row],[human_idle_ratio_diff_nores_minus_dynamic]],0)</f>
        <v>0.04</v>
      </c>
      <c r="S16">
        <f>IF(idle_time_ratio_summary[[#This Row],[human_nores_idle_ratio_higher2]]&gt;=0.05,1,0)</f>
        <v>0</v>
      </c>
    </row>
    <row r="17" spans="1:19" x14ac:dyDescent="0.25">
      <c r="A17" t="s">
        <v>42</v>
      </c>
      <c r="B17">
        <v>3.3</v>
      </c>
      <c r="C17">
        <v>0.04</v>
      </c>
      <c r="D17">
        <v>10.1</v>
      </c>
      <c r="E17">
        <v>0.12</v>
      </c>
      <c r="F17">
        <v>-0.08</v>
      </c>
      <c r="G17">
        <v>0</v>
      </c>
      <c r="H17">
        <v>31.74</v>
      </c>
      <c r="I17">
        <v>0.38</v>
      </c>
      <c r="J17">
        <v>25.74</v>
      </c>
      <c r="K17">
        <v>0.3</v>
      </c>
      <c r="L17">
        <v>0.08</v>
      </c>
      <c r="M17">
        <v>1</v>
      </c>
      <c r="N17">
        <f t="shared" si="0"/>
        <v>1</v>
      </c>
      <c r="O17">
        <f>IF(idle_time_ratio_summary[[#This Row],[robot_nores_idle_ratio_higher]]=1,idle_time_ratio_summary[[#This Row],[robot_idle_ratio_diff_nores_minus_dynamic]],0)</f>
        <v>0.08</v>
      </c>
      <c r="P17">
        <f>IF(idle_time_ratio_summary[[#This Row],[robot_nores_idle_ratio_higher]]=0,ABS(idle_time_ratio_summary[[#This Row],[robot_idle_ratio_diff_nores_minus_dynamic]]),0)</f>
        <v>0</v>
      </c>
      <c r="Q17">
        <f>IF(idle_time_ratio_summary[[#This Row],[human_idle_ratio_diff_nores_minus_dynamic]]&gt;0,idle_time_ratio_summary[[#This Row],[human_idle_ratio_diff_nores_minus_dynamic]],0)</f>
        <v>0</v>
      </c>
      <c r="R17">
        <f>IF(idle_time_ratio_summary[[#This Row],[human_idle_ratio_diff_nores_minus_dynamic]]&lt;0,-idle_time_ratio_summary[[#This Row],[human_idle_ratio_diff_nores_minus_dynamic]],0)</f>
        <v>0.08</v>
      </c>
      <c r="S17">
        <f>IF(idle_time_ratio_summary[[#This Row],[human_nores_idle_ratio_higher2]]&gt;=0.05,1,0)</f>
        <v>1</v>
      </c>
    </row>
    <row r="18" spans="1:19" x14ac:dyDescent="0.25">
      <c r="A18" t="s">
        <v>43</v>
      </c>
      <c r="B18">
        <v>0.47</v>
      </c>
      <c r="C18">
        <v>0</v>
      </c>
      <c r="D18">
        <v>2.14</v>
      </c>
      <c r="E18">
        <v>0.02</v>
      </c>
      <c r="F18">
        <v>-0.02</v>
      </c>
      <c r="G18">
        <v>0</v>
      </c>
      <c r="H18">
        <v>92.79</v>
      </c>
      <c r="I18">
        <v>0.64</v>
      </c>
      <c r="J18">
        <v>69.88</v>
      </c>
      <c r="K18">
        <v>0.51</v>
      </c>
      <c r="L18">
        <v>0.13</v>
      </c>
      <c r="M18">
        <v>1</v>
      </c>
      <c r="N18">
        <f t="shared" si="0"/>
        <v>1</v>
      </c>
      <c r="O18">
        <f>IF(idle_time_ratio_summary[[#This Row],[robot_nores_idle_ratio_higher]]=1,idle_time_ratio_summary[[#This Row],[robot_idle_ratio_diff_nores_minus_dynamic]],0)</f>
        <v>0.13</v>
      </c>
      <c r="P18">
        <f>IF(idle_time_ratio_summary[[#This Row],[robot_nores_idle_ratio_higher]]=0,ABS(idle_time_ratio_summary[[#This Row],[robot_idle_ratio_diff_nores_minus_dynamic]]),0)</f>
        <v>0</v>
      </c>
      <c r="Q18">
        <f>IF(idle_time_ratio_summary[[#This Row],[human_idle_ratio_diff_nores_minus_dynamic]]&gt;0,idle_time_ratio_summary[[#This Row],[human_idle_ratio_diff_nores_minus_dynamic]],0)</f>
        <v>0</v>
      </c>
      <c r="R18">
        <f>IF(idle_time_ratio_summary[[#This Row],[human_idle_ratio_diff_nores_minus_dynamic]]&lt;0,-idle_time_ratio_summary[[#This Row],[human_idle_ratio_diff_nores_minus_dynamic]],0)</f>
        <v>0.02</v>
      </c>
      <c r="S18">
        <f>IF(idle_time_ratio_summary[[#This Row],[human_nores_idle_ratio_higher2]]&gt;=0.05,1,0)</f>
        <v>0</v>
      </c>
    </row>
    <row r="19" spans="1:19" x14ac:dyDescent="0.25">
      <c r="A19" t="s">
        <v>44</v>
      </c>
      <c r="B19">
        <v>3.51</v>
      </c>
      <c r="C19">
        <v>0.03</v>
      </c>
      <c r="D19">
        <v>6.15</v>
      </c>
      <c r="E19">
        <v>0.06</v>
      </c>
      <c r="F19">
        <v>-0.03</v>
      </c>
      <c r="G19">
        <v>0</v>
      </c>
      <c r="H19">
        <v>50.71</v>
      </c>
      <c r="I19">
        <v>0.5</v>
      </c>
      <c r="J19">
        <v>53.36</v>
      </c>
      <c r="K19">
        <v>0.51</v>
      </c>
      <c r="L19">
        <v>-0.01</v>
      </c>
      <c r="M19">
        <v>0</v>
      </c>
      <c r="N19">
        <f t="shared" si="0"/>
        <v>0</v>
      </c>
      <c r="O19">
        <f>IF(idle_time_ratio_summary[[#This Row],[robot_nores_idle_ratio_higher]]=1,idle_time_ratio_summary[[#This Row],[robot_idle_ratio_diff_nores_minus_dynamic]],0)</f>
        <v>0</v>
      </c>
      <c r="P19">
        <f>IF(idle_time_ratio_summary[[#This Row],[robot_nores_idle_ratio_higher]]=0,ABS(idle_time_ratio_summary[[#This Row],[robot_idle_ratio_diff_nores_minus_dynamic]]),0)</f>
        <v>0.01</v>
      </c>
      <c r="Q19">
        <f>IF(idle_time_ratio_summary[[#This Row],[human_idle_ratio_diff_nores_minus_dynamic]]&gt;0,idle_time_ratio_summary[[#This Row],[human_idle_ratio_diff_nores_minus_dynamic]],0)</f>
        <v>0</v>
      </c>
      <c r="R19">
        <f>IF(idle_time_ratio_summary[[#This Row],[human_idle_ratio_diff_nores_minus_dynamic]]&lt;0,-idle_time_ratio_summary[[#This Row],[human_idle_ratio_diff_nores_minus_dynamic]],0)</f>
        <v>0.03</v>
      </c>
      <c r="S19">
        <f>IF(idle_time_ratio_summary[[#This Row],[human_nores_idle_ratio_higher2]]&gt;=0.05,1,0)</f>
        <v>0</v>
      </c>
    </row>
    <row r="20" spans="1:19" x14ac:dyDescent="0.25">
      <c r="A20" t="s">
        <v>45</v>
      </c>
      <c r="B20">
        <v>11</v>
      </c>
      <c r="C20">
        <v>0.16</v>
      </c>
      <c r="D20">
        <v>13.48</v>
      </c>
      <c r="E20">
        <v>0.19</v>
      </c>
      <c r="F20">
        <v>-0.03</v>
      </c>
      <c r="G20">
        <v>0</v>
      </c>
      <c r="H20">
        <v>16.89</v>
      </c>
      <c r="I20">
        <v>0.25</v>
      </c>
      <c r="J20">
        <v>19.34</v>
      </c>
      <c r="K20">
        <v>0.27</v>
      </c>
      <c r="L20">
        <v>-0.02</v>
      </c>
      <c r="M20">
        <v>0</v>
      </c>
      <c r="N20">
        <f t="shared" si="0"/>
        <v>0</v>
      </c>
      <c r="O20">
        <f>IF(idle_time_ratio_summary[[#This Row],[robot_nores_idle_ratio_higher]]=1,idle_time_ratio_summary[[#This Row],[robot_idle_ratio_diff_nores_minus_dynamic]],0)</f>
        <v>0</v>
      </c>
      <c r="P20">
        <f>IF(idle_time_ratio_summary[[#This Row],[robot_nores_idle_ratio_higher]]=0,ABS(idle_time_ratio_summary[[#This Row],[robot_idle_ratio_diff_nores_minus_dynamic]]),0)</f>
        <v>0.02</v>
      </c>
      <c r="Q20">
        <f>IF(idle_time_ratio_summary[[#This Row],[human_idle_ratio_diff_nores_minus_dynamic]]&gt;0,idle_time_ratio_summary[[#This Row],[human_idle_ratio_diff_nores_minus_dynamic]],0)</f>
        <v>0</v>
      </c>
      <c r="R20">
        <f>IF(idle_time_ratio_summary[[#This Row],[human_idle_ratio_diff_nores_minus_dynamic]]&lt;0,-idle_time_ratio_summary[[#This Row],[human_idle_ratio_diff_nores_minus_dynamic]],0)</f>
        <v>0.03</v>
      </c>
      <c r="S20">
        <f>IF(idle_time_ratio_summary[[#This Row],[human_nores_idle_ratio_higher2]]&gt;=0.05,1,0)</f>
        <v>0</v>
      </c>
    </row>
    <row r="21" spans="1:19" x14ac:dyDescent="0.25">
      <c r="A21" t="s">
        <v>46</v>
      </c>
      <c r="B21">
        <v>0</v>
      </c>
      <c r="C21">
        <v>0</v>
      </c>
      <c r="D21">
        <v>6.44</v>
      </c>
      <c r="E21">
        <v>0.08</v>
      </c>
      <c r="F21">
        <v>-0.08</v>
      </c>
      <c r="G21">
        <v>0</v>
      </c>
      <c r="H21">
        <v>30.35</v>
      </c>
      <c r="I21">
        <v>0.37</v>
      </c>
      <c r="J21">
        <v>23.92</v>
      </c>
      <c r="K21">
        <v>0.28000000000000003</v>
      </c>
      <c r="L21">
        <v>0.09</v>
      </c>
      <c r="M21">
        <v>1</v>
      </c>
      <c r="N21">
        <f t="shared" si="0"/>
        <v>1</v>
      </c>
      <c r="O21">
        <f>IF(idle_time_ratio_summary[[#This Row],[robot_nores_idle_ratio_higher]]=1,idle_time_ratio_summary[[#This Row],[robot_idle_ratio_diff_nores_minus_dynamic]],0)</f>
        <v>0.09</v>
      </c>
      <c r="P21">
        <f>IF(idle_time_ratio_summary[[#This Row],[robot_nores_idle_ratio_higher]]=0,ABS(idle_time_ratio_summary[[#This Row],[robot_idle_ratio_diff_nores_minus_dynamic]]),0)</f>
        <v>0</v>
      </c>
      <c r="Q21">
        <f>IF(idle_time_ratio_summary[[#This Row],[human_idle_ratio_diff_nores_minus_dynamic]]&gt;0,idle_time_ratio_summary[[#This Row],[human_idle_ratio_diff_nores_minus_dynamic]],0)</f>
        <v>0</v>
      </c>
      <c r="R21">
        <f>IF(idle_time_ratio_summary[[#This Row],[human_idle_ratio_diff_nores_minus_dynamic]]&lt;0,-idle_time_ratio_summary[[#This Row],[human_idle_ratio_diff_nores_minus_dynamic]],0)</f>
        <v>0.08</v>
      </c>
      <c r="S21">
        <f>IF(idle_time_ratio_summary[[#This Row],[human_nores_idle_ratio_higher2]]&gt;=0.05,1,0)</f>
        <v>1</v>
      </c>
    </row>
    <row r="22" spans="1:19" x14ac:dyDescent="0.25">
      <c r="A22" t="s">
        <v>47</v>
      </c>
      <c r="B22">
        <v>1.7</v>
      </c>
      <c r="C22">
        <v>0.02</v>
      </c>
      <c r="D22">
        <v>3.26</v>
      </c>
      <c r="E22">
        <v>0.04</v>
      </c>
      <c r="F22">
        <v>-0.02</v>
      </c>
      <c r="G22">
        <v>0</v>
      </c>
      <c r="H22">
        <v>31.35</v>
      </c>
      <c r="I22">
        <v>0.38</v>
      </c>
      <c r="J22">
        <v>32.92</v>
      </c>
      <c r="K22">
        <v>0.39</v>
      </c>
      <c r="L22">
        <v>-0.01</v>
      </c>
      <c r="M22">
        <v>0</v>
      </c>
      <c r="N22">
        <f t="shared" si="0"/>
        <v>0</v>
      </c>
      <c r="O22">
        <f>IF(idle_time_ratio_summary[[#This Row],[robot_nores_idle_ratio_higher]]=1,idle_time_ratio_summary[[#This Row],[robot_idle_ratio_diff_nores_minus_dynamic]],0)</f>
        <v>0</v>
      </c>
      <c r="P22">
        <f>IF(idle_time_ratio_summary[[#This Row],[robot_nores_idle_ratio_higher]]=0,ABS(idle_time_ratio_summary[[#This Row],[robot_idle_ratio_diff_nores_minus_dynamic]]),0)</f>
        <v>0.01</v>
      </c>
      <c r="Q22">
        <f>IF(idle_time_ratio_summary[[#This Row],[human_idle_ratio_diff_nores_minus_dynamic]]&gt;0,idle_time_ratio_summary[[#This Row],[human_idle_ratio_diff_nores_minus_dynamic]],0)</f>
        <v>0</v>
      </c>
      <c r="R22">
        <f>IF(idle_time_ratio_summary[[#This Row],[human_idle_ratio_diff_nores_minus_dynamic]]&lt;0,-idle_time_ratio_summary[[#This Row],[human_idle_ratio_diff_nores_minus_dynamic]],0)</f>
        <v>0.02</v>
      </c>
      <c r="S22">
        <f>IF(idle_time_ratio_summary[[#This Row],[human_nores_idle_ratio_higher2]]&gt;=0.05,1,0)</f>
        <v>0</v>
      </c>
    </row>
    <row r="23" spans="1:19" x14ac:dyDescent="0.25">
      <c r="A23" t="s">
        <v>48</v>
      </c>
      <c r="B23">
        <v>2.2400000000000002</v>
      </c>
      <c r="C23">
        <v>0.03</v>
      </c>
      <c r="D23">
        <v>11.63</v>
      </c>
      <c r="E23">
        <v>0.14000000000000001</v>
      </c>
      <c r="F23">
        <v>-0.11</v>
      </c>
      <c r="G23">
        <v>0</v>
      </c>
      <c r="H23">
        <v>24.75</v>
      </c>
      <c r="I23">
        <v>0.33</v>
      </c>
      <c r="J23">
        <v>21.31</v>
      </c>
      <c r="K23">
        <v>0.26</v>
      </c>
      <c r="L23">
        <v>7.0000000000000007E-2</v>
      </c>
      <c r="M23">
        <v>1</v>
      </c>
      <c r="N23">
        <f t="shared" si="0"/>
        <v>1</v>
      </c>
      <c r="O23">
        <f>IF(idle_time_ratio_summary[[#This Row],[robot_nores_idle_ratio_higher]]=1,idle_time_ratio_summary[[#This Row],[robot_idle_ratio_diff_nores_minus_dynamic]],0)</f>
        <v>7.0000000000000007E-2</v>
      </c>
      <c r="P23">
        <f>IF(idle_time_ratio_summary[[#This Row],[robot_nores_idle_ratio_higher]]=0,ABS(idle_time_ratio_summary[[#This Row],[robot_idle_ratio_diff_nores_minus_dynamic]]),0)</f>
        <v>0</v>
      </c>
      <c r="Q23">
        <f>IF(idle_time_ratio_summary[[#This Row],[human_idle_ratio_diff_nores_minus_dynamic]]&gt;0,idle_time_ratio_summary[[#This Row],[human_idle_ratio_diff_nores_minus_dynamic]],0)</f>
        <v>0</v>
      </c>
      <c r="R23">
        <f>IF(idle_time_ratio_summary[[#This Row],[human_idle_ratio_diff_nores_minus_dynamic]]&lt;0,-idle_time_ratio_summary[[#This Row],[human_idle_ratio_diff_nores_minus_dynamic]],0)</f>
        <v>0.11</v>
      </c>
      <c r="S23">
        <f>IF(idle_time_ratio_summary[[#This Row],[human_nores_idle_ratio_higher2]]&gt;=0.05,1,0)</f>
        <v>1</v>
      </c>
    </row>
    <row r="24" spans="1:19" x14ac:dyDescent="0.25">
      <c r="A24" t="s">
        <v>49</v>
      </c>
      <c r="B24">
        <v>1.33</v>
      </c>
      <c r="C24">
        <v>0.02</v>
      </c>
      <c r="D24">
        <v>4.9400000000000004</v>
      </c>
      <c r="E24">
        <v>7.0000000000000007E-2</v>
      </c>
      <c r="F24">
        <v>-0.05</v>
      </c>
      <c r="G24">
        <v>0</v>
      </c>
      <c r="H24">
        <v>23.24</v>
      </c>
      <c r="I24">
        <v>0.31</v>
      </c>
      <c r="J24">
        <v>20.98</v>
      </c>
      <c r="K24">
        <v>0.28999999999999998</v>
      </c>
      <c r="L24">
        <v>0.02</v>
      </c>
      <c r="M24">
        <v>1</v>
      </c>
      <c r="N24">
        <f t="shared" si="0"/>
        <v>0</v>
      </c>
      <c r="O24">
        <f>IF(idle_time_ratio_summary[[#This Row],[robot_nores_idle_ratio_higher]]=1,idle_time_ratio_summary[[#This Row],[robot_idle_ratio_diff_nores_minus_dynamic]],0)</f>
        <v>0.02</v>
      </c>
      <c r="P24">
        <f>IF(idle_time_ratio_summary[[#This Row],[robot_nores_idle_ratio_higher]]=0,ABS(idle_time_ratio_summary[[#This Row],[robot_idle_ratio_diff_nores_minus_dynamic]]),0)</f>
        <v>0</v>
      </c>
      <c r="Q24">
        <f>IF(idle_time_ratio_summary[[#This Row],[human_idle_ratio_diff_nores_minus_dynamic]]&gt;0,idle_time_ratio_summary[[#This Row],[human_idle_ratio_diff_nores_minus_dynamic]],0)</f>
        <v>0</v>
      </c>
      <c r="R24">
        <f>IF(idle_time_ratio_summary[[#This Row],[human_idle_ratio_diff_nores_minus_dynamic]]&lt;0,-idle_time_ratio_summary[[#This Row],[human_idle_ratio_diff_nores_minus_dynamic]],0)</f>
        <v>0.05</v>
      </c>
      <c r="S24">
        <f>IF(idle_time_ratio_summary[[#This Row],[human_nores_idle_ratio_higher2]]&gt;=0.05,1,0)</f>
        <v>1</v>
      </c>
    </row>
    <row r="25" spans="1:19" x14ac:dyDescent="0.25">
      <c r="A25" t="s">
        <v>50</v>
      </c>
      <c r="B25">
        <v>6.68</v>
      </c>
      <c r="C25">
        <v>0.1</v>
      </c>
      <c r="D25">
        <v>4.8499999999999996</v>
      </c>
      <c r="E25">
        <v>7.0000000000000007E-2</v>
      </c>
      <c r="F25">
        <v>0.03</v>
      </c>
      <c r="G25">
        <v>1</v>
      </c>
      <c r="H25">
        <v>16.940000000000001</v>
      </c>
      <c r="I25">
        <v>0.25</v>
      </c>
      <c r="J25">
        <v>15.11</v>
      </c>
      <c r="K25">
        <v>0.23</v>
      </c>
      <c r="L25">
        <v>0.02</v>
      </c>
      <c r="M25">
        <v>1</v>
      </c>
      <c r="N25">
        <f t="shared" si="0"/>
        <v>0</v>
      </c>
      <c r="O25">
        <f>IF(idle_time_ratio_summary[[#This Row],[robot_nores_idle_ratio_higher]]=1,idle_time_ratio_summary[[#This Row],[robot_idle_ratio_diff_nores_minus_dynamic]],0)</f>
        <v>0.02</v>
      </c>
      <c r="P25">
        <f>IF(idle_time_ratio_summary[[#This Row],[robot_nores_idle_ratio_higher]]=0,ABS(idle_time_ratio_summary[[#This Row],[robot_idle_ratio_diff_nores_minus_dynamic]]),0)</f>
        <v>0</v>
      </c>
      <c r="Q25">
        <f>IF(idle_time_ratio_summary[[#This Row],[human_idle_ratio_diff_nores_minus_dynamic]]&gt;0,idle_time_ratio_summary[[#This Row],[human_idle_ratio_diff_nores_minus_dynamic]],0)</f>
        <v>0.03</v>
      </c>
      <c r="R25">
        <f>IF(idle_time_ratio_summary[[#This Row],[human_idle_ratio_diff_nores_minus_dynamic]]&lt;0,-idle_time_ratio_summary[[#This Row],[human_idle_ratio_diff_nores_minus_dynamic]],0)</f>
        <v>0</v>
      </c>
      <c r="S25">
        <f>IF(idle_time_ratio_summary[[#This Row],[human_nores_idle_ratio_higher2]]&gt;=0.05,1,0)</f>
        <v>0</v>
      </c>
    </row>
    <row r="26" spans="1:19" x14ac:dyDescent="0.25">
      <c r="A26" t="s">
        <v>51</v>
      </c>
      <c r="B26">
        <v>12.45</v>
      </c>
      <c r="C26">
        <v>0.18</v>
      </c>
      <c r="D26">
        <v>12.87</v>
      </c>
      <c r="E26">
        <v>0.2</v>
      </c>
      <c r="F26">
        <v>-0.02</v>
      </c>
      <c r="G26">
        <v>0</v>
      </c>
      <c r="H26">
        <v>16.989999999999998</v>
      </c>
      <c r="I26">
        <v>0.25</v>
      </c>
      <c r="J26">
        <v>14.05</v>
      </c>
      <c r="K26">
        <v>0.22</v>
      </c>
      <c r="L26">
        <v>0.03</v>
      </c>
      <c r="M26">
        <v>1</v>
      </c>
      <c r="N26">
        <f t="shared" si="0"/>
        <v>0</v>
      </c>
      <c r="O26">
        <f>IF(idle_time_ratio_summary[[#This Row],[robot_nores_idle_ratio_higher]]=1,idle_time_ratio_summary[[#This Row],[robot_idle_ratio_diff_nores_minus_dynamic]],0)</f>
        <v>0.03</v>
      </c>
      <c r="P26">
        <f>IF(idle_time_ratio_summary[[#This Row],[robot_nores_idle_ratio_higher]]=0,ABS(idle_time_ratio_summary[[#This Row],[robot_idle_ratio_diff_nores_minus_dynamic]]),0)</f>
        <v>0</v>
      </c>
      <c r="Q26">
        <f>IF(idle_time_ratio_summary[[#This Row],[human_idle_ratio_diff_nores_minus_dynamic]]&gt;0,idle_time_ratio_summary[[#This Row],[human_idle_ratio_diff_nores_minus_dynamic]],0)</f>
        <v>0</v>
      </c>
      <c r="R26">
        <f>IF(idle_time_ratio_summary[[#This Row],[human_idle_ratio_diff_nores_minus_dynamic]]&lt;0,-idle_time_ratio_summary[[#This Row],[human_idle_ratio_diff_nores_minus_dynamic]],0)</f>
        <v>0.02</v>
      </c>
      <c r="S26">
        <f>IF(idle_time_ratio_summary[[#This Row],[human_nores_idle_ratio_higher2]]&gt;=0.05,1,0)</f>
        <v>0</v>
      </c>
    </row>
    <row r="27" spans="1:19" x14ac:dyDescent="0.25">
      <c r="A27" t="s">
        <v>52</v>
      </c>
      <c r="B27">
        <v>3.88</v>
      </c>
      <c r="C27">
        <v>0.05</v>
      </c>
      <c r="D27">
        <v>5.5</v>
      </c>
      <c r="E27">
        <v>0.08</v>
      </c>
      <c r="F27">
        <v>-0.03</v>
      </c>
      <c r="G27">
        <v>0</v>
      </c>
      <c r="H27">
        <v>25.66</v>
      </c>
      <c r="I27">
        <v>0.33</v>
      </c>
      <c r="J27">
        <v>17.43</v>
      </c>
      <c r="K27">
        <v>0.25</v>
      </c>
      <c r="L27">
        <v>0.08</v>
      </c>
      <c r="M27">
        <v>1</v>
      </c>
      <c r="N27">
        <f t="shared" si="0"/>
        <v>1</v>
      </c>
      <c r="O27">
        <f>IF(idle_time_ratio_summary[[#This Row],[robot_nores_idle_ratio_higher]]=1,idle_time_ratio_summary[[#This Row],[robot_idle_ratio_diff_nores_minus_dynamic]],0)</f>
        <v>0.08</v>
      </c>
      <c r="P27">
        <f>IF(idle_time_ratio_summary[[#This Row],[robot_nores_idle_ratio_higher]]=0,ABS(idle_time_ratio_summary[[#This Row],[robot_idle_ratio_diff_nores_minus_dynamic]]),0)</f>
        <v>0</v>
      </c>
      <c r="Q27">
        <f>IF(idle_time_ratio_summary[[#This Row],[human_idle_ratio_diff_nores_minus_dynamic]]&gt;0,idle_time_ratio_summary[[#This Row],[human_idle_ratio_diff_nores_minus_dynamic]],0)</f>
        <v>0</v>
      </c>
      <c r="R27">
        <f>IF(idle_time_ratio_summary[[#This Row],[human_idle_ratio_diff_nores_minus_dynamic]]&lt;0,-idle_time_ratio_summary[[#This Row],[human_idle_ratio_diff_nores_minus_dynamic]],0)</f>
        <v>0.03</v>
      </c>
      <c r="S27">
        <f>IF(idle_time_ratio_summary[[#This Row],[human_nores_idle_ratio_higher2]]&gt;=0.05,1,0)</f>
        <v>0</v>
      </c>
    </row>
    <row r="28" spans="1:19" x14ac:dyDescent="0.25">
      <c r="A28" t="s">
        <v>53</v>
      </c>
      <c r="B28">
        <v>10.210000000000001</v>
      </c>
      <c r="C28">
        <v>0.11</v>
      </c>
      <c r="D28">
        <v>10.42</v>
      </c>
      <c r="E28">
        <v>0.12</v>
      </c>
      <c r="F28">
        <v>-0.01</v>
      </c>
      <c r="G28">
        <v>0</v>
      </c>
      <c r="H28">
        <v>40.619999999999997</v>
      </c>
      <c r="I28">
        <v>0.44</v>
      </c>
      <c r="J28">
        <v>27.75</v>
      </c>
      <c r="K28">
        <v>0.31</v>
      </c>
      <c r="L28">
        <v>0.13</v>
      </c>
      <c r="M28">
        <v>1</v>
      </c>
      <c r="N28">
        <f t="shared" si="0"/>
        <v>1</v>
      </c>
      <c r="O28">
        <f>IF(idle_time_ratio_summary[[#This Row],[robot_nores_idle_ratio_higher]]=1,idle_time_ratio_summary[[#This Row],[robot_idle_ratio_diff_nores_minus_dynamic]],0)</f>
        <v>0.13</v>
      </c>
      <c r="P28">
        <f>IF(idle_time_ratio_summary[[#This Row],[robot_nores_idle_ratio_higher]]=0,ABS(idle_time_ratio_summary[[#This Row],[robot_idle_ratio_diff_nores_minus_dynamic]]),0)</f>
        <v>0</v>
      </c>
      <c r="Q28">
        <f>IF(idle_time_ratio_summary[[#This Row],[human_idle_ratio_diff_nores_minus_dynamic]]&gt;0,idle_time_ratio_summary[[#This Row],[human_idle_ratio_diff_nores_minus_dynamic]],0)</f>
        <v>0</v>
      </c>
      <c r="R28">
        <f>IF(idle_time_ratio_summary[[#This Row],[human_idle_ratio_diff_nores_minus_dynamic]]&lt;0,-idle_time_ratio_summary[[#This Row],[human_idle_ratio_diff_nores_minus_dynamic]],0)</f>
        <v>0.01</v>
      </c>
      <c r="S28">
        <f>IF(idle_time_ratio_summary[[#This Row],[human_nores_idle_ratio_higher2]]&gt;=0.05,1,0)</f>
        <v>0</v>
      </c>
    </row>
    <row r="29" spans="1:19" s="15" customFormat="1" x14ac:dyDescent="0.25">
      <c r="A29" s="15" t="s">
        <v>111</v>
      </c>
      <c r="B29" s="15">
        <v>16.73</v>
      </c>
      <c r="C29" s="15">
        <v>0.25</v>
      </c>
      <c r="D29" s="15">
        <v>16.760000000000002</v>
      </c>
      <c r="E29" s="15">
        <v>0.25</v>
      </c>
      <c r="F29" s="15">
        <v>0</v>
      </c>
      <c r="G29" s="15">
        <v>0</v>
      </c>
      <c r="H29" s="15">
        <v>16.68</v>
      </c>
      <c r="I29" s="15">
        <v>0.25</v>
      </c>
      <c r="J29" s="15">
        <v>16.68</v>
      </c>
      <c r="K29" s="15">
        <v>0.25</v>
      </c>
      <c r="L29" s="15">
        <v>0</v>
      </c>
      <c r="M29" s="15">
        <v>0</v>
      </c>
      <c r="N29" s="15">
        <f t="shared" si="0"/>
        <v>0</v>
      </c>
      <c r="O29" s="15">
        <f>IF(idle_time_ratio_summary[[#This Row],[robot_nores_idle_ratio_higher]]=1,idle_time_ratio_summary[[#This Row],[robot_idle_ratio_diff_nores_minus_dynamic]],0)</f>
        <v>0</v>
      </c>
      <c r="P29" s="15">
        <f>IF(idle_time_ratio_summary[[#This Row],[robot_nores_idle_ratio_higher]]=0,ABS(idle_time_ratio_summary[[#This Row],[robot_idle_ratio_diff_nores_minus_dynamic]]),0)</f>
        <v>0</v>
      </c>
      <c r="Q29" s="16">
        <f>IF(idle_time_ratio_summary[[#This Row],[human_idle_ratio_diff_nores_minus_dynamic]]&gt;0,idle_time_ratio_summary[[#This Row],[human_idle_ratio_diff_nores_minus_dynamic]],0)</f>
        <v>0</v>
      </c>
      <c r="R29" s="16">
        <f>IF(idle_time_ratio_summary[[#This Row],[human_idle_ratio_diff_nores_minus_dynamic]]&lt;0,-idle_time_ratio_summary[[#This Row],[human_idle_ratio_diff_nores_minus_dynamic]],0)</f>
        <v>0</v>
      </c>
      <c r="S29" s="16">
        <f>IF(idle_time_ratio_summary[[#This Row],[human_nores_idle_ratio_higher2]]&gt;=0.05,1,0)</f>
        <v>0</v>
      </c>
    </row>
    <row r="30" spans="1:19" x14ac:dyDescent="0.25">
      <c r="A30" t="s">
        <v>54</v>
      </c>
      <c r="B30">
        <v>3.49</v>
      </c>
      <c r="C30">
        <v>0.03</v>
      </c>
      <c r="D30">
        <v>5.41</v>
      </c>
      <c r="E30">
        <v>0.05</v>
      </c>
      <c r="F30">
        <v>-0.02</v>
      </c>
      <c r="G30">
        <v>0</v>
      </c>
      <c r="H30">
        <v>49.94</v>
      </c>
      <c r="I30">
        <v>0.49</v>
      </c>
      <c r="J30">
        <v>39</v>
      </c>
      <c r="K30">
        <v>0.39</v>
      </c>
      <c r="L30">
        <v>0.1</v>
      </c>
      <c r="M30">
        <v>1</v>
      </c>
      <c r="N30">
        <f t="shared" si="0"/>
        <v>1</v>
      </c>
      <c r="O30">
        <f>IF(idle_time_ratio_summary[[#This Row],[robot_nores_idle_ratio_higher]]=1,idle_time_ratio_summary[[#This Row],[robot_idle_ratio_diff_nores_minus_dynamic]],0)</f>
        <v>0.1</v>
      </c>
      <c r="P30">
        <f>IF(idle_time_ratio_summary[[#This Row],[robot_nores_idle_ratio_higher]]=0,ABS(idle_time_ratio_summary[[#This Row],[robot_idle_ratio_diff_nores_minus_dynamic]]),0)</f>
        <v>0</v>
      </c>
      <c r="Q30">
        <f>IF(idle_time_ratio_summary[[#This Row],[human_idle_ratio_diff_nores_minus_dynamic]]&gt;0,idle_time_ratio_summary[[#This Row],[human_idle_ratio_diff_nores_minus_dynamic]],0)</f>
        <v>0</v>
      </c>
      <c r="R30">
        <f>IF(idle_time_ratio_summary[[#This Row],[human_idle_ratio_diff_nores_minus_dynamic]]&lt;0,-idle_time_ratio_summary[[#This Row],[human_idle_ratio_diff_nores_minus_dynamic]],0)</f>
        <v>0.02</v>
      </c>
      <c r="S30">
        <f>IF(idle_time_ratio_summary[[#This Row],[human_nores_idle_ratio_higher2]]&gt;=0.05,1,0)</f>
        <v>0</v>
      </c>
    </row>
    <row r="31" spans="1:19" x14ac:dyDescent="0.25">
      <c r="A31" t="s">
        <v>55</v>
      </c>
      <c r="B31">
        <v>14.54</v>
      </c>
      <c r="C31">
        <v>0.21</v>
      </c>
      <c r="D31">
        <v>14.68</v>
      </c>
      <c r="E31">
        <v>0.21</v>
      </c>
      <c r="F31">
        <v>0</v>
      </c>
      <c r="G31">
        <v>0</v>
      </c>
      <c r="H31">
        <v>17.29</v>
      </c>
      <c r="I31">
        <v>0.25</v>
      </c>
      <c r="J31">
        <v>17.32</v>
      </c>
      <c r="K31">
        <v>0.25</v>
      </c>
      <c r="L31">
        <v>0</v>
      </c>
      <c r="M31">
        <v>0</v>
      </c>
      <c r="N31">
        <f t="shared" si="0"/>
        <v>0</v>
      </c>
      <c r="O31">
        <f>IF(idle_time_ratio_summary[[#This Row],[robot_nores_idle_ratio_higher]]=1,idle_time_ratio_summary[[#This Row],[robot_idle_ratio_diff_nores_minus_dynamic]],0)</f>
        <v>0</v>
      </c>
      <c r="P31">
        <f>IF(idle_time_ratio_summary[[#This Row],[robot_nores_idle_ratio_higher]]=0,ABS(idle_time_ratio_summary[[#This Row],[robot_idle_ratio_diff_nores_minus_dynamic]]),0)</f>
        <v>0</v>
      </c>
      <c r="Q31">
        <f>IF(idle_time_ratio_summary[[#This Row],[human_idle_ratio_diff_nores_minus_dynamic]]&gt;0,idle_time_ratio_summary[[#This Row],[human_idle_ratio_diff_nores_minus_dynamic]],0)</f>
        <v>0</v>
      </c>
      <c r="R31">
        <f>IF(idle_time_ratio_summary[[#This Row],[human_idle_ratio_diff_nores_minus_dynamic]]&lt;0,-idle_time_ratio_summary[[#This Row],[human_idle_ratio_diff_nores_minus_dynamic]],0)</f>
        <v>0</v>
      </c>
      <c r="S31">
        <f>IF(idle_time_ratio_summary[[#This Row],[human_nores_idle_ratio_higher2]]&gt;=0.05,1,0)</f>
        <v>0</v>
      </c>
    </row>
    <row r="32" spans="1:19" s="15" customFormat="1" x14ac:dyDescent="0.25">
      <c r="A32" s="15" t="s">
        <v>115</v>
      </c>
      <c r="B32" s="15">
        <v>16.64</v>
      </c>
      <c r="C32" s="15">
        <v>0.25</v>
      </c>
      <c r="D32" s="15">
        <v>16.649999999999999</v>
      </c>
      <c r="E32" s="15">
        <v>0.25</v>
      </c>
      <c r="F32" s="15">
        <v>0</v>
      </c>
      <c r="G32" s="15">
        <v>0</v>
      </c>
      <c r="H32" s="15">
        <v>16.79</v>
      </c>
      <c r="I32" s="15">
        <v>0.25</v>
      </c>
      <c r="J32" s="15">
        <v>16.82</v>
      </c>
      <c r="K32" s="15">
        <v>0.25</v>
      </c>
      <c r="L32" s="15">
        <v>0</v>
      </c>
      <c r="M32" s="15">
        <v>0</v>
      </c>
      <c r="N32" s="15">
        <f t="shared" si="0"/>
        <v>0</v>
      </c>
      <c r="O32" s="15">
        <f>IF(idle_time_ratio_summary[[#This Row],[robot_nores_idle_ratio_higher]]=1,idle_time_ratio_summary[[#This Row],[robot_idle_ratio_diff_nores_minus_dynamic]],0)</f>
        <v>0</v>
      </c>
      <c r="P32" s="15">
        <f>IF(idle_time_ratio_summary[[#This Row],[robot_nores_idle_ratio_higher]]=0,ABS(idle_time_ratio_summary[[#This Row],[robot_idle_ratio_diff_nores_minus_dynamic]]),0)</f>
        <v>0</v>
      </c>
      <c r="Q32" s="16">
        <f>IF(idle_time_ratio_summary[[#This Row],[human_idle_ratio_diff_nores_minus_dynamic]]&gt;0,idle_time_ratio_summary[[#This Row],[human_idle_ratio_diff_nores_minus_dynamic]],0)</f>
        <v>0</v>
      </c>
      <c r="R32" s="16">
        <f>IF(idle_time_ratio_summary[[#This Row],[human_idle_ratio_diff_nores_minus_dynamic]]&lt;0,-idle_time_ratio_summary[[#This Row],[human_idle_ratio_diff_nores_minus_dynamic]],0)</f>
        <v>0</v>
      </c>
      <c r="S32" s="16">
        <f>IF(idle_time_ratio_summary[[#This Row],[human_nores_idle_ratio_higher2]]&gt;=0.05,1,0)</f>
        <v>0</v>
      </c>
    </row>
    <row r="33" spans="1:19" x14ac:dyDescent="0.25">
      <c r="A33" t="s">
        <v>56</v>
      </c>
      <c r="B33">
        <v>2.86</v>
      </c>
      <c r="C33">
        <v>0.03</v>
      </c>
      <c r="D33">
        <v>11.26</v>
      </c>
      <c r="E33">
        <v>0.12</v>
      </c>
      <c r="F33">
        <v>-0.09</v>
      </c>
      <c r="G33">
        <v>0</v>
      </c>
      <c r="H33">
        <v>54.28</v>
      </c>
      <c r="I33">
        <v>0.52</v>
      </c>
      <c r="J33">
        <v>37.049999999999997</v>
      </c>
      <c r="K33">
        <v>0.38</v>
      </c>
      <c r="L33">
        <v>0.14000000000000001</v>
      </c>
      <c r="M33">
        <v>1</v>
      </c>
      <c r="N33">
        <f t="shared" si="0"/>
        <v>1</v>
      </c>
      <c r="O33">
        <f>IF(idle_time_ratio_summary[[#This Row],[robot_nores_idle_ratio_higher]]=1,idle_time_ratio_summary[[#This Row],[robot_idle_ratio_diff_nores_minus_dynamic]],0)</f>
        <v>0.14000000000000001</v>
      </c>
      <c r="P33">
        <f>IF(idle_time_ratio_summary[[#This Row],[robot_nores_idle_ratio_higher]]=0,ABS(idle_time_ratio_summary[[#This Row],[robot_idle_ratio_diff_nores_minus_dynamic]]),0)</f>
        <v>0</v>
      </c>
      <c r="Q33">
        <f>IF(idle_time_ratio_summary[[#This Row],[human_idle_ratio_diff_nores_minus_dynamic]]&gt;0,idle_time_ratio_summary[[#This Row],[human_idle_ratio_diff_nores_minus_dynamic]],0)</f>
        <v>0</v>
      </c>
      <c r="R33">
        <f>IF(idle_time_ratio_summary[[#This Row],[human_idle_ratio_diff_nores_minus_dynamic]]&lt;0,-idle_time_ratio_summary[[#This Row],[human_idle_ratio_diff_nores_minus_dynamic]],0)</f>
        <v>0.09</v>
      </c>
      <c r="S33">
        <f>IF(idle_time_ratio_summary[[#This Row],[human_nores_idle_ratio_higher2]]&gt;=0.05,1,0)</f>
        <v>1</v>
      </c>
    </row>
    <row r="34" spans="1:19" x14ac:dyDescent="0.25">
      <c r="A34" t="s">
        <v>57</v>
      </c>
      <c r="B34">
        <v>5.9</v>
      </c>
      <c r="C34">
        <v>0.08</v>
      </c>
      <c r="D34">
        <v>8.6199999999999992</v>
      </c>
      <c r="E34">
        <v>0.11</v>
      </c>
      <c r="F34">
        <v>-0.03</v>
      </c>
      <c r="G34">
        <v>0</v>
      </c>
      <c r="H34">
        <v>22.2</v>
      </c>
      <c r="I34">
        <v>0.3</v>
      </c>
      <c r="J34">
        <v>24.9</v>
      </c>
      <c r="K34">
        <v>0.33</v>
      </c>
      <c r="L34">
        <v>-0.03</v>
      </c>
      <c r="M34">
        <v>0</v>
      </c>
      <c r="N34">
        <f t="shared" ref="N34:N65" si="1">IF(L34&gt;=0.05,1,0)</f>
        <v>0</v>
      </c>
      <c r="O34">
        <f>IF(idle_time_ratio_summary[[#This Row],[robot_nores_idle_ratio_higher]]=1,idle_time_ratio_summary[[#This Row],[robot_idle_ratio_diff_nores_minus_dynamic]],0)</f>
        <v>0</v>
      </c>
      <c r="P34">
        <f>IF(idle_time_ratio_summary[[#This Row],[robot_nores_idle_ratio_higher]]=0,ABS(idle_time_ratio_summary[[#This Row],[robot_idle_ratio_diff_nores_minus_dynamic]]),0)</f>
        <v>0.03</v>
      </c>
      <c r="Q34">
        <f>IF(idle_time_ratio_summary[[#This Row],[human_idle_ratio_diff_nores_minus_dynamic]]&gt;0,idle_time_ratio_summary[[#This Row],[human_idle_ratio_diff_nores_minus_dynamic]],0)</f>
        <v>0</v>
      </c>
      <c r="R34">
        <f>IF(idle_time_ratio_summary[[#This Row],[human_idle_ratio_diff_nores_minus_dynamic]]&lt;0,-idle_time_ratio_summary[[#This Row],[human_idle_ratio_diff_nores_minus_dynamic]],0)</f>
        <v>0.03</v>
      </c>
      <c r="S34">
        <f>IF(idle_time_ratio_summary[[#This Row],[human_nores_idle_ratio_higher2]]&gt;=0.05,1,0)</f>
        <v>0</v>
      </c>
    </row>
    <row r="35" spans="1:19" x14ac:dyDescent="0.25">
      <c r="A35" t="s">
        <v>58</v>
      </c>
      <c r="B35">
        <v>2.95</v>
      </c>
      <c r="C35">
        <v>0.03</v>
      </c>
      <c r="D35">
        <v>11.13</v>
      </c>
      <c r="E35">
        <v>0.12</v>
      </c>
      <c r="F35">
        <v>-0.09</v>
      </c>
      <c r="G35">
        <v>0</v>
      </c>
      <c r="H35">
        <v>38.44</v>
      </c>
      <c r="I35">
        <v>0.43</v>
      </c>
      <c r="J35">
        <v>21.97</v>
      </c>
      <c r="K35">
        <v>0.24</v>
      </c>
      <c r="L35">
        <v>0.19</v>
      </c>
      <c r="M35">
        <v>1</v>
      </c>
      <c r="N35">
        <f t="shared" si="1"/>
        <v>1</v>
      </c>
      <c r="O35">
        <f>IF(idle_time_ratio_summary[[#This Row],[robot_nores_idle_ratio_higher]]=1,idle_time_ratio_summary[[#This Row],[robot_idle_ratio_diff_nores_minus_dynamic]],0)</f>
        <v>0.19</v>
      </c>
      <c r="P35">
        <f>IF(idle_time_ratio_summary[[#This Row],[robot_nores_idle_ratio_higher]]=0,ABS(idle_time_ratio_summary[[#This Row],[robot_idle_ratio_diff_nores_minus_dynamic]]),0)</f>
        <v>0</v>
      </c>
      <c r="Q35">
        <f>IF(idle_time_ratio_summary[[#This Row],[human_idle_ratio_diff_nores_minus_dynamic]]&gt;0,idle_time_ratio_summary[[#This Row],[human_idle_ratio_diff_nores_minus_dynamic]],0)</f>
        <v>0</v>
      </c>
      <c r="R35">
        <f>IF(idle_time_ratio_summary[[#This Row],[human_idle_ratio_diff_nores_minus_dynamic]]&lt;0,-idle_time_ratio_summary[[#This Row],[human_idle_ratio_diff_nores_minus_dynamic]],0)</f>
        <v>0.09</v>
      </c>
      <c r="S35">
        <f>IF(idle_time_ratio_summary[[#This Row],[human_nores_idle_ratio_higher2]]&gt;=0.05,1,0)</f>
        <v>1</v>
      </c>
    </row>
    <row r="36" spans="1:19" x14ac:dyDescent="0.25">
      <c r="A36" t="s">
        <v>59</v>
      </c>
      <c r="B36">
        <v>3.66</v>
      </c>
      <c r="C36">
        <v>0.04</v>
      </c>
      <c r="D36">
        <v>7.12</v>
      </c>
      <c r="E36">
        <v>0.09</v>
      </c>
      <c r="F36">
        <v>-0.05</v>
      </c>
      <c r="G36">
        <v>0</v>
      </c>
      <c r="H36">
        <v>30.73</v>
      </c>
      <c r="I36">
        <v>0.38</v>
      </c>
      <c r="J36">
        <v>19.7</v>
      </c>
      <c r="K36">
        <v>0.25</v>
      </c>
      <c r="L36">
        <v>0.13</v>
      </c>
      <c r="M36">
        <v>1</v>
      </c>
      <c r="N36">
        <f t="shared" si="1"/>
        <v>1</v>
      </c>
      <c r="O36">
        <f>IF(idle_time_ratio_summary[[#This Row],[robot_nores_idle_ratio_higher]]=1,idle_time_ratio_summary[[#This Row],[robot_idle_ratio_diff_nores_minus_dynamic]],0)</f>
        <v>0.13</v>
      </c>
      <c r="P36">
        <f>IF(idle_time_ratio_summary[[#This Row],[robot_nores_idle_ratio_higher]]=0,ABS(idle_time_ratio_summary[[#This Row],[robot_idle_ratio_diff_nores_minus_dynamic]]),0)</f>
        <v>0</v>
      </c>
      <c r="Q36">
        <f>IF(idle_time_ratio_summary[[#This Row],[human_idle_ratio_diff_nores_minus_dynamic]]&gt;0,idle_time_ratio_summary[[#This Row],[human_idle_ratio_diff_nores_minus_dynamic]],0)</f>
        <v>0</v>
      </c>
      <c r="R36">
        <f>IF(idle_time_ratio_summary[[#This Row],[human_idle_ratio_diff_nores_minus_dynamic]]&lt;0,-idle_time_ratio_summary[[#This Row],[human_idle_ratio_diff_nores_minus_dynamic]],0)</f>
        <v>0.05</v>
      </c>
      <c r="S36">
        <f>IF(idle_time_ratio_summary[[#This Row],[human_nores_idle_ratio_higher2]]&gt;=0.05,1,0)</f>
        <v>1</v>
      </c>
    </row>
    <row r="37" spans="1:19" x14ac:dyDescent="0.25">
      <c r="A37" t="s">
        <v>60</v>
      </c>
      <c r="B37">
        <v>0.15</v>
      </c>
      <c r="C37">
        <v>0</v>
      </c>
      <c r="D37">
        <v>6.2</v>
      </c>
      <c r="E37">
        <v>0.06</v>
      </c>
      <c r="F37">
        <v>-0.06</v>
      </c>
      <c r="G37">
        <v>0</v>
      </c>
      <c r="H37">
        <v>48.75</v>
      </c>
      <c r="I37">
        <v>0.49</v>
      </c>
      <c r="J37">
        <v>28.5</v>
      </c>
      <c r="K37">
        <v>0.28999999999999998</v>
      </c>
      <c r="L37">
        <v>0.2</v>
      </c>
      <c r="M37">
        <v>1</v>
      </c>
      <c r="N37">
        <f t="shared" si="1"/>
        <v>1</v>
      </c>
      <c r="O37">
        <f>IF(idle_time_ratio_summary[[#This Row],[robot_nores_idle_ratio_higher]]=1,idle_time_ratio_summary[[#This Row],[robot_idle_ratio_diff_nores_minus_dynamic]],0)</f>
        <v>0.2</v>
      </c>
      <c r="P37">
        <f>IF(idle_time_ratio_summary[[#This Row],[robot_nores_idle_ratio_higher]]=0,ABS(idle_time_ratio_summary[[#This Row],[robot_idle_ratio_diff_nores_minus_dynamic]]),0)</f>
        <v>0</v>
      </c>
      <c r="Q37">
        <f>IF(idle_time_ratio_summary[[#This Row],[human_idle_ratio_diff_nores_minus_dynamic]]&gt;0,idle_time_ratio_summary[[#This Row],[human_idle_ratio_diff_nores_minus_dynamic]],0)</f>
        <v>0</v>
      </c>
      <c r="R37">
        <f>IF(idle_time_ratio_summary[[#This Row],[human_idle_ratio_diff_nores_minus_dynamic]]&lt;0,-idle_time_ratio_summary[[#This Row],[human_idle_ratio_diff_nores_minus_dynamic]],0)</f>
        <v>0.06</v>
      </c>
      <c r="S37">
        <f>IF(idle_time_ratio_summary[[#This Row],[human_nores_idle_ratio_higher2]]&gt;=0.05,1,0)</f>
        <v>1</v>
      </c>
    </row>
    <row r="38" spans="1:19" x14ac:dyDescent="0.25">
      <c r="A38" t="s">
        <v>61</v>
      </c>
      <c r="B38">
        <v>1.1100000000000001</v>
      </c>
      <c r="C38">
        <v>0.01</v>
      </c>
      <c r="D38">
        <v>1.83</v>
      </c>
      <c r="E38">
        <v>0.02</v>
      </c>
      <c r="F38">
        <v>-0.01</v>
      </c>
      <c r="G38">
        <v>0</v>
      </c>
      <c r="H38">
        <v>53.99</v>
      </c>
      <c r="I38">
        <v>0.51</v>
      </c>
      <c r="J38">
        <v>41.95</v>
      </c>
      <c r="K38">
        <v>0.41</v>
      </c>
      <c r="L38">
        <v>0.1</v>
      </c>
      <c r="M38">
        <v>1</v>
      </c>
      <c r="N38">
        <f t="shared" si="1"/>
        <v>1</v>
      </c>
      <c r="O38">
        <f>IF(idle_time_ratio_summary[[#This Row],[robot_nores_idle_ratio_higher]]=1,idle_time_ratio_summary[[#This Row],[robot_idle_ratio_diff_nores_minus_dynamic]],0)</f>
        <v>0.1</v>
      </c>
      <c r="P38">
        <f>IF(idle_time_ratio_summary[[#This Row],[robot_nores_idle_ratio_higher]]=0,ABS(idle_time_ratio_summary[[#This Row],[robot_idle_ratio_diff_nores_minus_dynamic]]),0)</f>
        <v>0</v>
      </c>
      <c r="Q38">
        <f>IF(idle_time_ratio_summary[[#This Row],[human_idle_ratio_diff_nores_minus_dynamic]]&gt;0,idle_time_ratio_summary[[#This Row],[human_idle_ratio_diff_nores_minus_dynamic]],0)</f>
        <v>0</v>
      </c>
      <c r="R38">
        <f>IF(idle_time_ratio_summary[[#This Row],[human_idle_ratio_diff_nores_minus_dynamic]]&lt;0,-idle_time_ratio_summary[[#This Row],[human_idle_ratio_diff_nores_minus_dynamic]],0)</f>
        <v>0.01</v>
      </c>
      <c r="S38">
        <f>IF(idle_time_ratio_summary[[#This Row],[human_nores_idle_ratio_higher2]]&gt;=0.05,1,0)</f>
        <v>0</v>
      </c>
    </row>
    <row r="39" spans="1:19" x14ac:dyDescent="0.25">
      <c r="A39" t="s">
        <v>62</v>
      </c>
      <c r="B39">
        <v>2.14</v>
      </c>
      <c r="C39">
        <v>0.02</v>
      </c>
      <c r="D39">
        <v>2.75</v>
      </c>
      <c r="E39">
        <v>0.03</v>
      </c>
      <c r="F39">
        <v>-0.01</v>
      </c>
      <c r="G39">
        <v>0</v>
      </c>
      <c r="H39">
        <v>52.78</v>
      </c>
      <c r="I39">
        <v>0.51</v>
      </c>
      <c r="J39">
        <v>40.71</v>
      </c>
      <c r="K39">
        <v>0.4</v>
      </c>
      <c r="L39">
        <v>0.11</v>
      </c>
      <c r="M39">
        <v>1</v>
      </c>
      <c r="N39">
        <f t="shared" si="1"/>
        <v>1</v>
      </c>
      <c r="O39">
        <f>IF(idle_time_ratio_summary[[#This Row],[robot_nores_idle_ratio_higher]]=1,idle_time_ratio_summary[[#This Row],[robot_idle_ratio_diff_nores_minus_dynamic]],0)</f>
        <v>0.11</v>
      </c>
      <c r="P39">
        <f>IF(idle_time_ratio_summary[[#This Row],[robot_nores_idle_ratio_higher]]=0,ABS(idle_time_ratio_summary[[#This Row],[robot_idle_ratio_diff_nores_minus_dynamic]]),0)</f>
        <v>0</v>
      </c>
      <c r="Q39">
        <f>IF(idle_time_ratio_summary[[#This Row],[human_idle_ratio_diff_nores_minus_dynamic]]&gt;0,idle_time_ratio_summary[[#This Row],[human_idle_ratio_diff_nores_minus_dynamic]],0)</f>
        <v>0</v>
      </c>
      <c r="R39">
        <f>IF(idle_time_ratio_summary[[#This Row],[human_idle_ratio_diff_nores_minus_dynamic]]&lt;0,-idle_time_ratio_summary[[#This Row],[human_idle_ratio_diff_nores_minus_dynamic]],0)</f>
        <v>0.01</v>
      </c>
      <c r="S39">
        <f>IF(idle_time_ratio_summary[[#This Row],[human_nores_idle_ratio_higher2]]&gt;=0.05,1,0)</f>
        <v>0</v>
      </c>
    </row>
    <row r="40" spans="1:19" x14ac:dyDescent="0.25">
      <c r="A40" t="s">
        <v>63</v>
      </c>
      <c r="B40">
        <v>2.5</v>
      </c>
      <c r="C40">
        <v>0.03</v>
      </c>
      <c r="D40">
        <v>4.6399999999999997</v>
      </c>
      <c r="E40">
        <v>0.06</v>
      </c>
      <c r="F40">
        <v>-0.03</v>
      </c>
      <c r="G40">
        <v>0</v>
      </c>
      <c r="H40">
        <v>31.81</v>
      </c>
      <c r="I40">
        <v>0.38</v>
      </c>
      <c r="J40">
        <v>21.4</v>
      </c>
      <c r="K40">
        <v>0.26</v>
      </c>
      <c r="L40">
        <v>0.12</v>
      </c>
      <c r="M40">
        <v>1</v>
      </c>
      <c r="N40">
        <f t="shared" si="1"/>
        <v>1</v>
      </c>
      <c r="O40">
        <f>IF(idle_time_ratio_summary[[#This Row],[robot_nores_idle_ratio_higher]]=1,idle_time_ratio_summary[[#This Row],[robot_idle_ratio_diff_nores_minus_dynamic]],0)</f>
        <v>0.12</v>
      </c>
      <c r="P40">
        <f>IF(idle_time_ratio_summary[[#This Row],[robot_nores_idle_ratio_higher]]=0,ABS(idle_time_ratio_summary[[#This Row],[robot_idle_ratio_diff_nores_minus_dynamic]]),0)</f>
        <v>0</v>
      </c>
      <c r="Q40">
        <f>IF(idle_time_ratio_summary[[#This Row],[human_idle_ratio_diff_nores_minus_dynamic]]&gt;0,idle_time_ratio_summary[[#This Row],[human_idle_ratio_diff_nores_minus_dynamic]],0)</f>
        <v>0</v>
      </c>
      <c r="R40">
        <f>IF(idle_time_ratio_summary[[#This Row],[human_idle_ratio_diff_nores_minus_dynamic]]&lt;0,-idle_time_ratio_summary[[#This Row],[human_idle_ratio_diff_nores_minus_dynamic]],0)</f>
        <v>0.03</v>
      </c>
      <c r="S40">
        <f>IF(idle_time_ratio_summary[[#This Row],[human_nores_idle_ratio_higher2]]&gt;=0.05,1,0)</f>
        <v>0</v>
      </c>
    </row>
    <row r="41" spans="1:19" x14ac:dyDescent="0.25">
      <c r="A41" t="s">
        <v>64</v>
      </c>
      <c r="B41">
        <v>6.31</v>
      </c>
      <c r="C41">
        <v>0.09</v>
      </c>
      <c r="D41">
        <v>10.79</v>
      </c>
      <c r="E41">
        <v>0.16</v>
      </c>
      <c r="F41">
        <v>-7.0000000000000007E-2</v>
      </c>
      <c r="G41">
        <v>0</v>
      </c>
      <c r="H41">
        <v>16.71</v>
      </c>
      <c r="I41">
        <v>0.25</v>
      </c>
      <c r="J41">
        <v>17.63</v>
      </c>
      <c r="K41">
        <v>0.26</v>
      </c>
      <c r="L41">
        <v>-0.01</v>
      </c>
      <c r="M41">
        <v>0</v>
      </c>
      <c r="N41">
        <f t="shared" si="1"/>
        <v>0</v>
      </c>
      <c r="O41">
        <f>IF(idle_time_ratio_summary[[#This Row],[robot_nores_idle_ratio_higher]]=1,idle_time_ratio_summary[[#This Row],[robot_idle_ratio_diff_nores_minus_dynamic]],0)</f>
        <v>0</v>
      </c>
      <c r="P41">
        <f>IF(idle_time_ratio_summary[[#This Row],[robot_nores_idle_ratio_higher]]=0,ABS(idle_time_ratio_summary[[#This Row],[robot_idle_ratio_diff_nores_minus_dynamic]]),0)</f>
        <v>0.01</v>
      </c>
      <c r="Q41">
        <f>IF(idle_time_ratio_summary[[#This Row],[human_idle_ratio_diff_nores_minus_dynamic]]&gt;0,idle_time_ratio_summary[[#This Row],[human_idle_ratio_diff_nores_minus_dynamic]],0)</f>
        <v>0</v>
      </c>
      <c r="R41">
        <f>IF(idle_time_ratio_summary[[#This Row],[human_idle_ratio_diff_nores_minus_dynamic]]&lt;0,-idle_time_ratio_summary[[#This Row],[human_idle_ratio_diff_nores_minus_dynamic]],0)</f>
        <v>7.0000000000000007E-2</v>
      </c>
      <c r="S41">
        <f>IF(idle_time_ratio_summary[[#This Row],[human_nores_idle_ratio_higher2]]&gt;=0.05,1,0)</f>
        <v>1</v>
      </c>
    </row>
    <row r="42" spans="1:19" x14ac:dyDescent="0.25">
      <c r="A42" t="s">
        <v>65</v>
      </c>
      <c r="B42">
        <v>3.83</v>
      </c>
      <c r="C42">
        <v>0.06</v>
      </c>
      <c r="D42">
        <v>6.94</v>
      </c>
      <c r="E42">
        <v>0.1</v>
      </c>
      <c r="F42">
        <v>-0.04</v>
      </c>
      <c r="G42">
        <v>0</v>
      </c>
      <c r="H42">
        <v>18.43</v>
      </c>
      <c r="I42">
        <v>0.27</v>
      </c>
      <c r="J42">
        <v>21.5</v>
      </c>
      <c r="K42">
        <v>0.3</v>
      </c>
      <c r="L42">
        <v>-0.03</v>
      </c>
      <c r="M42">
        <v>0</v>
      </c>
      <c r="N42">
        <f t="shared" si="1"/>
        <v>0</v>
      </c>
      <c r="O42">
        <f>IF(idle_time_ratio_summary[[#This Row],[robot_nores_idle_ratio_higher]]=1,idle_time_ratio_summary[[#This Row],[robot_idle_ratio_diff_nores_minus_dynamic]],0)</f>
        <v>0</v>
      </c>
      <c r="P42">
        <f>IF(idle_time_ratio_summary[[#This Row],[robot_nores_idle_ratio_higher]]=0,ABS(idle_time_ratio_summary[[#This Row],[robot_idle_ratio_diff_nores_minus_dynamic]]),0)</f>
        <v>0.03</v>
      </c>
      <c r="Q42">
        <f>IF(idle_time_ratio_summary[[#This Row],[human_idle_ratio_diff_nores_minus_dynamic]]&gt;0,idle_time_ratio_summary[[#This Row],[human_idle_ratio_diff_nores_minus_dynamic]],0)</f>
        <v>0</v>
      </c>
      <c r="R42">
        <f>IF(idle_time_ratio_summary[[#This Row],[human_idle_ratio_diff_nores_minus_dynamic]]&lt;0,-idle_time_ratio_summary[[#This Row],[human_idle_ratio_diff_nores_minus_dynamic]],0)</f>
        <v>0.04</v>
      </c>
      <c r="S42">
        <f>IF(idle_time_ratio_summary[[#This Row],[human_nores_idle_ratio_higher2]]&gt;=0.05,1,0)</f>
        <v>0</v>
      </c>
    </row>
    <row r="43" spans="1:19" x14ac:dyDescent="0.25">
      <c r="A43" t="s">
        <v>66</v>
      </c>
      <c r="B43">
        <v>10.220000000000001</v>
      </c>
      <c r="C43">
        <v>0.12</v>
      </c>
      <c r="D43">
        <v>10.24</v>
      </c>
      <c r="E43">
        <v>0.13</v>
      </c>
      <c r="F43">
        <v>-0.01</v>
      </c>
      <c r="G43">
        <v>0</v>
      </c>
      <c r="H43">
        <v>34.06</v>
      </c>
      <c r="I43">
        <v>0.4</v>
      </c>
      <c r="J43">
        <v>20.350000000000001</v>
      </c>
      <c r="K43">
        <v>0.25</v>
      </c>
      <c r="L43">
        <v>0.15</v>
      </c>
      <c r="M43">
        <v>1</v>
      </c>
      <c r="N43">
        <f t="shared" si="1"/>
        <v>1</v>
      </c>
      <c r="O43">
        <f>IF(idle_time_ratio_summary[[#This Row],[robot_nores_idle_ratio_higher]]=1,idle_time_ratio_summary[[#This Row],[robot_idle_ratio_diff_nores_minus_dynamic]],0)</f>
        <v>0.15</v>
      </c>
      <c r="P43">
        <f>IF(idle_time_ratio_summary[[#This Row],[robot_nores_idle_ratio_higher]]=0,ABS(idle_time_ratio_summary[[#This Row],[robot_idle_ratio_diff_nores_minus_dynamic]]),0)</f>
        <v>0</v>
      </c>
      <c r="Q43">
        <f>IF(idle_time_ratio_summary[[#This Row],[human_idle_ratio_diff_nores_minus_dynamic]]&gt;0,idle_time_ratio_summary[[#This Row],[human_idle_ratio_diff_nores_minus_dynamic]],0)</f>
        <v>0</v>
      </c>
      <c r="R43">
        <f>IF(idle_time_ratio_summary[[#This Row],[human_idle_ratio_diff_nores_minus_dynamic]]&lt;0,-idle_time_ratio_summary[[#This Row],[human_idle_ratio_diff_nores_minus_dynamic]],0)</f>
        <v>0.01</v>
      </c>
      <c r="S43">
        <f>IF(idle_time_ratio_summary[[#This Row],[human_nores_idle_ratio_higher2]]&gt;=0.05,1,0)</f>
        <v>0</v>
      </c>
    </row>
    <row r="44" spans="1:19" x14ac:dyDescent="0.25">
      <c r="A44" t="s">
        <v>67</v>
      </c>
      <c r="B44">
        <v>5.19</v>
      </c>
      <c r="C44">
        <v>0.08</v>
      </c>
      <c r="D44">
        <v>10.45</v>
      </c>
      <c r="E44">
        <v>0.15</v>
      </c>
      <c r="F44">
        <v>-7.0000000000000007E-2</v>
      </c>
      <c r="G44">
        <v>0</v>
      </c>
      <c r="H44">
        <v>17.2</v>
      </c>
      <c r="I44">
        <v>0.25</v>
      </c>
      <c r="J44">
        <v>17.989999999999998</v>
      </c>
      <c r="K44">
        <v>0.26</v>
      </c>
      <c r="L44">
        <v>-0.01</v>
      </c>
      <c r="M44">
        <v>0</v>
      </c>
      <c r="N44">
        <f t="shared" si="1"/>
        <v>0</v>
      </c>
      <c r="O44">
        <f>IF(idle_time_ratio_summary[[#This Row],[robot_nores_idle_ratio_higher]]=1,idle_time_ratio_summary[[#This Row],[robot_idle_ratio_diff_nores_minus_dynamic]],0)</f>
        <v>0</v>
      </c>
      <c r="P44">
        <f>IF(idle_time_ratio_summary[[#This Row],[robot_nores_idle_ratio_higher]]=0,ABS(idle_time_ratio_summary[[#This Row],[robot_idle_ratio_diff_nores_minus_dynamic]]),0)</f>
        <v>0.01</v>
      </c>
      <c r="Q44">
        <f>IF(idle_time_ratio_summary[[#This Row],[human_idle_ratio_diff_nores_minus_dynamic]]&gt;0,idle_time_ratio_summary[[#This Row],[human_idle_ratio_diff_nores_minus_dynamic]],0)</f>
        <v>0</v>
      </c>
      <c r="R44">
        <f>IF(idle_time_ratio_summary[[#This Row],[human_idle_ratio_diff_nores_minus_dynamic]]&lt;0,-idle_time_ratio_summary[[#This Row],[human_idle_ratio_diff_nores_minus_dynamic]],0)</f>
        <v>7.0000000000000007E-2</v>
      </c>
      <c r="S44">
        <f>IF(idle_time_ratio_summary[[#This Row],[human_nores_idle_ratio_higher2]]&gt;=0.05,1,0)</f>
        <v>1</v>
      </c>
    </row>
    <row r="45" spans="1:19" x14ac:dyDescent="0.25">
      <c r="A45" t="s">
        <v>68</v>
      </c>
      <c r="B45">
        <v>6.61</v>
      </c>
      <c r="C45">
        <v>0.08</v>
      </c>
      <c r="D45">
        <v>4.68</v>
      </c>
      <c r="E45">
        <v>0.06</v>
      </c>
      <c r="F45">
        <v>0.02</v>
      </c>
      <c r="G45">
        <v>1</v>
      </c>
      <c r="H45">
        <v>35.840000000000003</v>
      </c>
      <c r="I45">
        <v>0.41</v>
      </c>
      <c r="J45">
        <v>21.77</v>
      </c>
      <c r="K45">
        <v>0.27</v>
      </c>
      <c r="L45">
        <v>0.14000000000000001</v>
      </c>
      <c r="M45">
        <v>1</v>
      </c>
      <c r="N45">
        <f t="shared" si="1"/>
        <v>1</v>
      </c>
      <c r="O45">
        <f>IF(idle_time_ratio_summary[[#This Row],[robot_nores_idle_ratio_higher]]=1,idle_time_ratio_summary[[#This Row],[robot_idle_ratio_diff_nores_minus_dynamic]],0)</f>
        <v>0.14000000000000001</v>
      </c>
      <c r="P45">
        <f>IF(idle_time_ratio_summary[[#This Row],[robot_nores_idle_ratio_higher]]=0,ABS(idle_time_ratio_summary[[#This Row],[robot_idle_ratio_diff_nores_minus_dynamic]]),0)</f>
        <v>0</v>
      </c>
      <c r="Q45">
        <f>IF(idle_time_ratio_summary[[#This Row],[human_idle_ratio_diff_nores_minus_dynamic]]&gt;0,idle_time_ratio_summary[[#This Row],[human_idle_ratio_diff_nores_minus_dynamic]],0)</f>
        <v>0.02</v>
      </c>
      <c r="R45">
        <f>IF(idle_time_ratio_summary[[#This Row],[human_idle_ratio_diff_nores_minus_dynamic]]&lt;0,-idle_time_ratio_summary[[#This Row],[human_idle_ratio_diff_nores_minus_dynamic]],0)</f>
        <v>0</v>
      </c>
      <c r="S45">
        <f>IF(idle_time_ratio_summary[[#This Row],[human_nores_idle_ratio_higher2]]&gt;=0.05,1,0)</f>
        <v>0</v>
      </c>
    </row>
    <row r="46" spans="1:19" x14ac:dyDescent="0.25">
      <c r="A46" t="s">
        <v>69</v>
      </c>
      <c r="B46">
        <v>3.84</v>
      </c>
      <c r="C46">
        <v>0.04</v>
      </c>
      <c r="D46">
        <v>4.17</v>
      </c>
      <c r="E46">
        <v>0.05</v>
      </c>
      <c r="F46">
        <v>-0.01</v>
      </c>
      <c r="G46">
        <v>0</v>
      </c>
      <c r="H46">
        <v>36</v>
      </c>
      <c r="I46">
        <v>0.41</v>
      </c>
      <c r="J46">
        <v>23.06</v>
      </c>
      <c r="K46">
        <v>0.27</v>
      </c>
      <c r="L46">
        <v>0.14000000000000001</v>
      </c>
      <c r="M46">
        <v>1</v>
      </c>
      <c r="N46">
        <f t="shared" si="1"/>
        <v>1</v>
      </c>
      <c r="O46">
        <f>IF(idle_time_ratio_summary[[#This Row],[robot_nores_idle_ratio_higher]]=1,idle_time_ratio_summary[[#This Row],[robot_idle_ratio_diff_nores_minus_dynamic]],0)</f>
        <v>0.14000000000000001</v>
      </c>
      <c r="P46">
        <f>IF(idle_time_ratio_summary[[#This Row],[robot_nores_idle_ratio_higher]]=0,ABS(idle_time_ratio_summary[[#This Row],[robot_idle_ratio_diff_nores_minus_dynamic]]),0)</f>
        <v>0</v>
      </c>
      <c r="Q46">
        <f>IF(idle_time_ratio_summary[[#This Row],[human_idle_ratio_diff_nores_minus_dynamic]]&gt;0,idle_time_ratio_summary[[#This Row],[human_idle_ratio_diff_nores_minus_dynamic]],0)</f>
        <v>0</v>
      </c>
      <c r="R46">
        <f>IF(idle_time_ratio_summary[[#This Row],[human_idle_ratio_diff_nores_minus_dynamic]]&lt;0,-idle_time_ratio_summary[[#This Row],[human_idle_ratio_diff_nores_minus_dynamic]],0)</f>
        <v>0.01</v>
      </c>
      <c r="S46">
        <f>IF(idle_time_ratio_summary[[#This Row],[human_nores_idle_ratio_higher2]]&gt;=0.05,1,0)</f>
        <v>0</v>
      </c>
    </row>
    <row r="47" spans="1:19" x14ac:dyDescent="0.25">
      <c r="A47" t="s">
        <v>70</v>
      </c>
      <c r="B47">
        <v>5.69</v>
      </c>
      <c r="C47">
        <v>0.08</v>
      </c>
      <c r="D47">
        <v>3.18</v>
      </c>
      <c r="E47">
        <v>0.05</v>
      </c>
      <c r="F47">
        <v>0.03</v>
      </c>
      <c r="G47">
        <v>1</v>
      </c>
      <c r="H47">
        <v>16.75</v>
      </c>
      <c r="I47">
        <v>0.25</v>
      </c>
      <c r="J47">
        <v>14.27</v>
      </c>
      <c r="K47">
        <v>0.22</v>
      </c>
      <c r="L47">
        <v>0.03</v>
      </c>
      <c r="M47">
        <v>1</v>
      </c>
      <c r="N47">
        <f t="shared" si="1"/>
        <v>0</v>
      </c>
      <c r="O47">
        <f>IF(idle_time_ratio_summary[[#This Row],[robot_nores_idle_ratio_higher]]=1,idle_time_ratio_summary[[#This Row],[robot_idle_ratio_diff_nores_minus_dynamic]],0)</f>
        <v>0.03</v>
      </c>
      <c r="P47">
        <f>IF(idle_time_ratio_summary[[#This Row],[robot_nores_idle_ratio_higher]]=0,ABS(idle_time_ratio_summary[[#This Row],[robot_idle_ratio_diff_nores_minus_dynamic]]),0)</f>
        <v>0</v>
      </c>
      <c r="Q47">
        <f>IF(idle_time_ratio_summary[[#This Row],[human_idle_ratio_diff_nores_minus_dynamic]]&gt;0,idle_time_ratio_summary[[#This Row],[human_idle_ratio_diff_nores_minus_dynamic]],0)</f>
        <v>0.03</v>
      </c>
      <c r="R47">
        <f>IF(idle_time_ratio_summary[[#This Row],[human_idle_ratio_diff_nores_minus_dynamic]]&lt;0,-idle_time_ratio_summary[[#This Row],[human_idle_ratio_diff_nores_minus_dynamic]],0)</f>
        <v>0</v>
      </c>
      <c r="S47">
        <f>IF(idle_time_ratio_summary[[#This Row],[human_nores_idle_ratio_higher2]]&gt;=0.05,1,0)</f>
        <v>0</v>
      </c>
    </row>
    <row r="48" spans="1:19" x14ac:dyDescent="0.25">
      <c r="A48" t="s">
        <v>71</v>
      </c>
      <c r="B48">
        <v>5.23</v>
      </c>
      <c r="C48">
        <v>0.08</v>
      </c>
      <c r="D48">
        <v>2.82</v>
      </c>
      <c r="E48">
        <v>0.04</v>
      </c>
      <c r="F48">
        <v>0.04</v>
      </c>
      <c r="G48">
        <v>1</v>
      </c>
      <c r="H48">
        <v>16.829999999999998</v>
      </c>
      <c r="I48">
        <v>0.25</v>
      </c>
      <c r="J48">
        <v>14.4</v>
      </c>
      <c r="K48">
        <v>0.22</v>
      </c>
      <c r="L48">
        <v>0.03</v>
      </c>
      <c r="M48">
        <v>1</v>
      </c>
      <c r="N48">
        <f t="shared" si="1"/>
        <v>0</v>
      </c>
      <c r="O48">
        <f>IF(idle_time_ratio_summary[[#This Row],[robot_nores_idle_ratio_higher]]=1,idle_time_ratio_summary[[#This Row],[robot_idle_ratio_diff_nores_minus_dynamic]],0)</f>
        <v>0.03</v>
      </c>
      <c r="P48">
        <f>IF(idle_time_ratio_summary[[#This Row],[robot_nores_idle_ratio_higher]]=0,ABS(idle_time_ratio_summary[[#This Row],[robot_idle_ratio_diff_nores_minus_dynamic]]),0)</f>
        <v>0</v>
      </c>
      <c r="Q48">
        <f>IF(idle_time_ratio_summary[[#This Row],[human_idle_ratio_diff_nores_minus_dynamic]]&gt;0,idle_time_ratio_summary[[#This Row],[human_idle_ratio_diff_nores_minus_dynamic]],0)</f>
        <v>0.04</v>
      </c>
      <c r="R48">
        <f>IF(idle_time_ratio_summary[[#This Row],[human_idle_ratio_diff_nores_minus_dynamic]]&lt;0,-idle_time_ratio_summary[[#This Row],[human_idle_ratio_diff_nores_minus_dynamic]],0)</f>
        <v>0</v>
      </c>
      <c r="S48">
        <f>IF(idle_time_ratio_summary[[#This Row],[human_nores_idle_ratio_higher2]]&gt;=0.05,1,0)</f>
        <v>0</v>
      </c>
    </row>
    <row r="49" spans="1:19" x14ac:dyDescent="0.25">
      <c r="A49" t="s">
        <v>72</v>
      </c>
      <c r="B49">
        <v>9.74</v>
      </c>
      <c r="C49">
        <v>0.14000000000000001</v>
      </c>
      <c r="D49">
        <v>7.74</v>
      </c>
      <c r="E49">
        <v>0.12</v>
      </c>
      <c r="F49">
        <v>0.02</v>
      </c>
      <c r="G49">
        <v>1</v>
      </c>
      <c r="H49">
        <v>16.739999999999998</v>
      </c>
      <c r="I49">
        <v>0.25</v>
      </c>
      <c r="J49">
        <v>14.79</v>
      </c>
      <c r="K49">
        <v>0.22</v>
      </c>
      <c r="L49">
        <v>0.03</v>
      </c>
      <c r="M49">
        <v>1</v>
      </c>
      <c r="N49">
        <f t="shared" si="1"/>
        <v>0</v>
      </c>
      <c r="O49">
        <f>IF(idle_time_ratio_summary[[#This Row],[robot_nores_idle_ratio_higher]]=1,idle_time_ratio_summary[[#This Row],[robot_idle_ratio_diff_nores_minus_dynamic]],0)</f>
        <v>0.03</v>
      </c>
      <c r="P49">
        <f>IF(idle_time_ratio_summary[[#This Row],[robot_nores_idle_ratio_higher]]=0,ABS(idle_time_ratio_summary[[#This Row],[robot_idle_ratio_diff_nores_minus_dynamic]]),0)</f>
        <v>0</v>
      </c>
      <c r="Q49">
        <f>IF(idle_time_ratio_summary[[#This Row],[human_idle_ratio_diff_nores_minus_dynamic]]&gt;0,idle_time_ratio_summary[[#This Row],[human_idle_ratio_diff_nores_minus_dynamic]],0)</f>
        <v>0.02</v>
      </c>
      <c r="R49">
        <f>IF(idle_time_ratio_summary[[#This Row],[human_idle_ratio_diff_nores_minus_dynamic]]&lt;0,-idle_time_ratio_summary[[#This Row],[human_idle_ratio_diff_nores_minus_dynamic]],0)</f>
        <v>0</v>
      </c>
      <c r="S49">
        <f>IF(idle_time_ratio_summary[[#This Row],[human_nores_idle_ratio_higher2]]&gt;=0.05,1,0)</f>
        <v>0</v>
      </c>
    </row>
    <row r="50" spans="1:19" s="15" customFormat="1" x14ac:dyDescent="0.25">
      <c r="A50" s="15" t="s">
        <v>118</v>
      </c>
      <c r="B50" s="15">
        <v>7.66</v>
      </c>
      <c r="C50" s="15">
        <v>0.11</v>
      </c>
      <c r="D50" s="15">
        <v>7.65</v>
      </c>
      <c r="E50" s="15">
        <v>0.11</v>
      </c>
      <c r="F50" s="15">
        <v>0</v>
      </c>
      <c r="G50" s="15">
        <v>0</v>
      </c>
      <c r="H50" s="15">
        <v>16.62</v>
      </c>
      <c r="I50" s="15">
        <v>0.25</v>
      </c>
      <c r="J50" s="15">
        <v>16.63</v>
      </c>
      <c r="K50" s="15">
        <v>0.25</v>
      </c>
      <c r="L50" s="15">
        <v>0</v>
      </c>
      <c r="M50" s="15">
        <v>0</v>
      </c>
      <c r="N50" s="15">
        <f t="shared" si="1"/>
        <v>0</v>
      </c>
      <c r="O50" s="15">
        <f>IF(idle_time_ratio_summary[[#This Row],[robot_nores_idle_ratio_higher]]=1,idle_time_ratio_summary[[#This Row],[robot_idle_ratio_diff_nores_minus_dynamic]],0)</f>
        <v>0</v>
      </c>
      <c r="P50" s="15">
        <f>IF(idle_time_ratio_summary[[#This Row],[robot_nores_idle_ratio_higher]]=0,ABS(idle_time_ratio_summary[[#This Row],[robot_idle_ratio_diff_nores_minus_dynamic]]),0)</f>
        <v>0</v>
      </c>
      <c r="Q50" s="16">
        <f>IF(idle_time_ratio_summary[[#This Row],[human_idle_ratio_diff_nores_minus_dynamic]]&gt;0,idle_time_ratio_summary[[#This Row],[human_idle_ratio_diff_nores_minus_dynamic]],0)</f>
        <v>0</v>
      </c>
      <c r="R50" s="16">
        <f>IF(idle_time_ratio_summary[[#This Row],[human_idle_ratio_diff_nores_minus_dynamic]]&lt;0,-idle_time_ratio_summary[[#This Row],[human_idle_ratio_diff_nores_minus_dynamic]],0)</f>
        <v>0</v>
      </c>
      <c r="S50" s="16">
        <f>IF(idle_time_ratio_summary[[#This Row],[human_nores_idle_ratio_higher2]]&gt;=0.05,1,0)</f>
        <v>0</v>
      </c>
    </row>
    <row r="51" spans="1:19" x14ac:dyDescent="0.25">
      <c r="A51" t="s">
        <v>73</v>
      </c>
      <c r="B51">
        <v>9.9600000000000009</v>
      </c>
      <c r="C51">
        <v>0.15</v>
      </c>
      <c r="D51">
        <v>5.95</v>
      </c>
      <c r="E51">
        <v>0.09</v>
      </c>
      <c r="F51">
        <v>0.06</v>
      </c>
      <c r="G51">
        <v>1</v>
      </c>
      <c r="H51">
        <v>16.61</v>
      </c>
      <c r="I51">
        <v>0.25</v>
      </c>
      <c r="J51">
        <v>12.58</v>
      </c>
      <c r="K51">
        <v>0.2</v>
      </c>
      <c r="L51">
        <v>0.05</v>
      </c>
      <c r="M51">
        <v>1</v>
      </c>
      <c r="N51">
        <f t="shared" si="1"/>
        <v>1</v>
      </c>
      <c r="O51">
        <f>IF(idle_time_ratio_summary[[#This Row],[robot_nores_idle_ratio_higher]]=1,idle_time_ratio_summary[[#This Row],[robot_idle_ratio_diff_nores_minus_dynamic]],0)</f>
        <v>0.05</v>
      </c>
      <c r="P51">
        <f>IF(idle_time_ratio_summary[[#This Row],[robot_nores_idle_ratio_higher]]=0,ABS(idle_time_ratio_summary[[#This Row],[robot_idle_ratio_diff_nores_minus_dynamic]]),0)</f>
        <v>0</v>
      </c>
      <c r="Q51">
        <f>IF(idle_time_ratio_summary[[#This Row],[human_idle_ratio_diff_nores_minus_dynamic]]&gt;0,idle_time_ratio_summary[[#This Row],[human_idle_ratio_diff_nores_minus_dynamic]],0)</f>
        <v>0.06</v>
      </c>
      <c r="R51">
        <f>IF(idle_time_ratio_summary[[#This Row],[human_idle_ratio_diff_nores_minus_dynamic]]&lt;0,-idle_time_ratio_summary[[#This Row],[human_idle_ratio_diff_nores_minus_dynamic]],0)</f>
        <v>0</v>
      </c>
      <c r="S51">
        <f>IF(idle_time_ratio_summary[[#This Row],[human_nores_idle_ratio_higher2]]&gt;=0.05,1,0)</f>
        <v>0</v>
      </c>
    </row>
    <row r="52" spans="1:19" x14ac:dyDescent="0.25">
      <c r="A52" t="s">
        <v>74</v>
      </c>
      <c r="B52">
        <v>1.1599999999999999</v>
      </c>
      <c r="C52">
        <v>0.02</v>
      </c>
      <c r="D52">
        <v>1.75</v>
      </c>
      <c r="E52">
        <v>0.03</v>
      </c>
      <c r="F52">
        <v>-0.01</v>
      </c>
      <c r="G52">
        <v>0</v>
      </c>
      <c r="H52">
        <v>22.85</v>
      </c>
      <c r="I52">
        <v>0.31</v>
      </c>
      <c r="J52">
        <v>16.48</v>
      </c>
      <c r="K52">
        <v>0.24</v>
      </c>
      <c r="L52">
        <v>7.0000000000000007E-2</v>
      </c>
      <c r="M52">
        <v>1</v>
      </c>
      <c r="N52">
        <f t="shared" si="1"/>
        <v>1</v>
      </c>
      <c r="O52">
        <f>IF(idle_time_ratio_summary[[#This Row],[robot_nores_idle_ratio_higher]]=1,idle_time_ratio_summary[[#This Row],[robot_idle_ratio_diff_nores_minus_dynamic]],0)</f>
        <v>7.0000000000000007E-2</v>
      </c>
      <c r="P52">
        <f>IF(idle_time_ratio_summary[[#This Row],[robot_nores_idle_ratio_higher]]=0,ABS(idle_time_ratio_summary[[#This Row],[robot_idle_ratio_diff_nores_minus_dynamic]]),0)</f>
        <v>0</v>
      </c>
      <c r="Q52">
        <f>IF(idle_time_ratio_summary[[#This Row],[human_idle_ratio_diff_nores_minus_dynamic]]&gt;0,idle_time_ratio_summary[[#This Row],[human_idle_ratio_diff_nores_minus_dynamic]],0)</f>
        <v>0</v>
      </c>
      <c r="R52">
        <f>IF(idle_time_ratio_summary[[#This Row],[human_idle_ratio_diff_nores_minus_dynamic]]&lt;0,-idle_time_ratio_summary[[#This Row],[human_idle_ratio_diff_nores_minus_dynamic]],0)</f>
        <v>0.01</v>
      </c>
      <c r="S52">
        <f>IF(idle_time_ratio_summary[[#This Row],[human_nores_idle_ratio_higher2]]&gt;=0.05,1,0)</f>
        <v>0</v>
      </c>
    </row>
    <row r="53" spans="1:19" x14ac:dyDescent="0.25">
      <c r="A53" t="s">
        <v>75</v>
      </c>
      <c r="B53">
        <v>7.67</v>
      </c>
      <c r="C53">
        <v>0.11</v>
      </c>
      <c r="D53">
        <v>7.92</v>
      </c>
      <c r="E53">
        <v>0.11</v>
      </c>
      <c r="F53">
        <v>0</v>
      </c>
      <c r="G53">
        <v>0</v>
      </c>
      <c r="H53">
        <v>21.9</v>
      </c>
      <c r="I53">
        <v>0.3</v>
      </c>
      <c r="J53">
        <v>18.21</v>
      </c>
      <c r="K53">
        <v>0.26</v>
      </c>
      <c r="L53">
        <v>0.04</v>
      </c>
      <c r="M53">
        <v>1</v>
      </c>
      <c r="N53">
        <f t="shared" si="1"/>
        <v>0</v>
      </c>
      <c r="O53">
        <f>IF(idle_time_ratio_summary[[#This Row],[robot_nores_idle_ratio_higher]]=1,idle_time_ratio_summary[[#This Row],[robot_idle_ratio_diff_nores_minus_dynamic]],0)</f>
        <v>0.04</v>
      </c>
      <c r="P53">
        <f>IF(idle_time_ratio_summary[[#This Row],[robot_nores_idle_ratio_higher]]=0,ABS(idle_time_ratio_summary[[#This Row],[robot_idle_ratio_diff_nores_minus_dynamic]]),0)</f>
        <v>0</v>
      </c>
      <c r="Q53">
        <f>IF(idle_time_ratio_summary[[#This Row],[human_idle_ratio_diff_nores_minus_dynamic]]&gt;0,idle_time_ratio_summary[[#This Row],[human_idle_ratio_diff_nores_minus_dynamic]],0)</f>
        <v>0</v>
      </c>
      <c r="R53">
        <f>IF(idle_time_ratio_summary[[#This Row],[human_idle_ratio_diff_nores_minus_dynamic]]&lt;0,-idle_time_ratio_summary[[#This Row],[human_idle_ratio_diff_nores_minus_dynamic]],0)</f>
        <v>0</v>
      </c>
      <c r="S53">
        <f>IF(idle_time_ratio_summary[[#This Row],[human_nores_idle_ratio_higher2]]&gt;=0.05,1,0)</f>
        <v>0</v>
      </c>
    </row>
    <row r="54" spans="1:19" x14ac:dyDescent="0.25">
      <c r="A54" t="s">
        <v>76</v>
      </c>
      <c r="B54">
        <v>1.24</v>
      </c>
      <c r="C54">
        <v>0.02</v>
      </c>
      <c r="D54">
        <v>2</v>
      </c>
      <c r="E54">
        <v>0.03</v>
      </c>
      <c r="F54">
        <v>-0.01</v>
      </c>
      <c r="G54">
        <v>0</v>
      </c>
      <c r="H54">
        <v>27.35</v>
      </c>
      <c r="I54">
        <v>0.35</v>
      </c>
      <c r="J54">
        <v>28.1</v>
      </c>
      <c r="K54">
        <v>0.35</v>
      </c>
      <c r="L54">
        <v>0</v>
      </c>
      <c r="M54">
        <v>0</v>
      </c>
      <c r="N54">
        <f t="shared" si="1"/>
        <v>0</v>
      </c>
      <c r="O54">
        <f>IF(idle_time_ratio_summary[[#This Row],[robot_nores_idle_ratio_higher]]=1,idle_time_ratio_summary[[#This Row],[robot_idle_ratio_diff_nores_minus_dynamic]],0)</f>
        <v>0</v>
      </c>
      <c r="P54">
        <f>IF(idle_time_ratio_summary[[#This Row],[robot_nores_idle_ratio_higher]]=0,ABS(idle_time_ratio_summary[[#This Row],[robot_idle_ratio_diff_nores_minus_dynamic]]),0)</f>
        <v>0</v>
      </c>
      <c r="Q54">
        <f>IF(idle_time_ratio_summary[[#This Row],[human_idle_ratio_diff_nores_minus_dynamic]]&gt;0,idle_time_ratio_summary[[#This Row],[human_idle_ratio_diff_nores_minus_dynamic]],0)</f>
        <v>0</v>
      </c>
      <c r="R54">
        <f>IF(idle_time_ratio_summary[[#This Row],[human_idle_ratio_diff_nores_minus_dynamic]]&lt;0,-idle_time_ratio_summary[[#This Row],[human_idle_ratio_diff_nores_minus_dynamic]],0)</f>
        <v>0.01</v>
      </c>
      <c r="S54">
        <f>IF(idle_time_ratio_summary[[#This Row],[human_nores_idle_ratio_higher2]]&gt;=0.05,1,0)</f>
        <v>0</v>
      </c>
    </row>
    <row r="55" spans="1:19" s="15" customFormat="1" x14ac:dyDescent="0.25">
      <c r="A55" s="15" t="s">
        <v>121</v>
      </c>
      <c r="B55" s="15">
        <v>7</v>
      </c>
      <c r="C55" s="15">
        <v>0.1</v>
      </c>
      <c r="D55" s="15">
        <v>7</v>
      </c>
      <c r="E55" s="15">
        <v>0.1</v>
      </c>
      <c r="F55" s="15">
        <v>0</v>
      </c>
      <c r="G55" s="15">
        <v>0</v>
      </c>
      <c r="H55" s="15">
        <v>16.82</v>
      </c>
      <c r="I55" s="15">
        <v>0.25</v>
      </c>
      <c r="J55" s="15">
        <v>16.87</v>
      </c>
      <c r="K55" s="15">
        <v>0.25</v>
      </c>
      <c r="L55" s="15">
        <v>0</v>
      </c>
      <c r="M55" s="15">
        <v>0</v>
      </c>
      <c r="N55" s="15">
        <f t="shared" si="1"/>
        <v>0</v>
      </c>
      <c r="O55" s="15">
        <f>IF(idle_time_ratio_summary[[#This Row],[robot_nores_idle_ratio_higher]]=1,idle_time_ratio_summary[[#This Row],[robot_idle_ratio_diff_nores_minus_dynamic]],0)</f>
        <v>0</v>
      </c>
      <c r="P55" s="15">
        <f>IF(idle_time_ratio_summary[[#This Row],[robot_nores_idle_ratio_higher]]=0,ABS(idle_time_ratio_summary[[#This Row],[robot_idle_ratio_diff_nores_minus_dynamic]]),0)</f>
        <v>0</v>
      </c>
      <c r="Q55" s="16">
        <f>IF(idle_time_ratio_summary[[#This Row],[human_idle_ratio_diff_nores_minus_dynamic]]&gt;0,idle_time_ratio_summary[[#This Row],[human_idle_ratio_diff_nores_minus_dynamic]],0)</f>
        <v>0</v>
      </c>
      <c r="R55" s="16">
        <f>IF(idle_time_ratio_summary[[#This Row],[human_idle_ratio_diff_nores_minus_dynamic]]&lt;0,-idle_time_ratio_summary[[#This Row],[human_idle_ratio_diff_nores_minus_dynamic]],0)</f>
        <v>0</v>
      </c>
      <c r="S55" s="16">
        <f>IF(idle_time_ratio_summary[[#This Row],[human_nores_idle_ratio_higher2]]&gt;=0.05,1,0)</f>
        <v>0</v>
      </c>
    </row>
    <row r="56" spans="1:19" x14ac:dyDescent="0.25">
      <c r="A56" t="s">
        <v>77</v>
      </c>
      <c r="B56">
        <v>1.8</v>
      </c>
      <c r="C56">
        <v>0.02</v>
      </c>
      <c r="D56">
        <v>2.96</v>
      </c>
      <c r="E56">
        <v>0.03</v>
      </c>
      <c r="F56">
        <v>-0.01</v>
      </c>
      <c r="G56">
        <v>0</v>
      </c>
      <c r="H56">
        <v>42.99</v>
      </c>
      <c r="I56">
        <v>0.46</v>
      </c>
      <c r="J56">
        <v>44.15</v>
      </c>
      <c r="K56">
        <v>0.46</v>
      </c>
      <c r="L56">
        <v>0</v>
      </c>
      <c r="M56">
        <v>0</v>
      </c>
      <c r="N56">
        <f t="shared" si="1"/>
        <v>0</v>
      </c>
      <c r="O56">
        <f>IF(idle_time_ratio_summary[[#This Row],[robot_nores_idle_ratio_higher]]=1,idle_time_ratio_summary[[#This Row],[robot_idle_ratio_diff_nores_minus_dynamic]],0)</f>
        <v>0</v>
      </c>
      <c r="P56">
        <f>IF(idle_time_ratio_summary[[#This Row],[robot_nores_idle_ratio_higher]]=0,ABS(idle_time_ratio_summary[[#This Row],[robot_idle_ratio_diff_nores_minus_dynamic]]),0)</f>
        <v>0</v>
      </c>
      <c r="Q56">
        <f>IF(idle_time_ratio_summary[[#This Row],[human_idle_ratio_diff_nores_minus_dynamic]]&gt;0,idle_time_ratio_summary[[#This Row],[human_idle_ratio_diff_nores_minus_dynamic]],0)</f>
        <v>0</v>
      </c>
      <c r="R56">
        <f>IF(idle_time_ratio_summary[[#This Row],[human_idle_ratio_diff_nores_minus_dynamic]]&lt;0,-idle_time_ratio_summary[[#This Row],[human_idle_ratio_diff_nores_minus_dynamic]],0)</f>
        <v>0.01</v>
      </c>
      <c r="S56">
        <f>IF(idle_time_ratio_summary[[#This Row],[human_nores_idle_ratio_higher2]]&gt;=0.05,1,0)</f>
        <v>0</v>
      </c>
    </row>
    <row r="57" spans="1:19" x14ac:dyDescent="0.25">
      <c r="A57" t="s">
        <v>78</v>
      </c>
      <c r="B57">
        <v>2.97</v>
      </c>
      <c r="C57">
        <v>0.04</v>
      </c>
      <c r="D57">
        <v>5.3</v>
      </c>
      <c r="E57">
        <v>7.0000000000000007E-2</v>
      </c>
      <c r="F57">
        <v>-0.03</v>
      </c>
      <c r="G57">
        <v>0</v>
      </c>
      <c r="H57">
        <v>30.54</v>
      </c>
      <c r="I57">
        <v>0.37</v>
      </c>
      <c r="J57">
        <v>19.350000000000001</v>
      </c>
      <c r="K57">
        <v>0.24</v>
      </c>
      <c r="L57">
        <v>0.13</v>
      </c>
      <c r="M57">
        <v>1</v>
      </c>
      <c r="N57">
        <f t="shared" si="1"/>
        <v>1</v>
      </c>
      <c r="O57">
        <f>IF(idle_time_ratio_summary[[#This Row],[robot_nores_idle_ratio_higher]]=1,idle_time_ratio_summary[[#This Row],[robot_idle_ratio_diff_nores_minus_dynamic]],0)</f>
        <v>0.13</v>
      </c>
      <c r="P57">
        <f>IF(idle_time_ratio_summary[[#This Row],[robot_nores_idle_ratio_higher]]=0,ABS(idle_time_ratio_summary[[#This Row],[robot_idle_ratio_diff_nores_minus_dynamic]]),0)</f>
        <v>0</v>
      </c>
      <c r="Q57">
        <f>IF(idle_time_ratio_summary[[#This Row],[human_idle_ratio_diff_nores_minus_dynamic]]&gt;0,idle_time_ratio_summary[[#This Row],[human_idle_ratio_diff_nores_minus_dynamic]],0)</f>
        <v>0</v>
      </c>
      <c r="R57">
        <f>IF(idle_time_ratio_summary[[#This Row],[human_idle_ratio_diff_nores_minus_dynamic]]&lt;0,-idle_time_ratio_summary[[#This Row],[human_idle_ratio_diff_nores_minus_dynamic]],0)</f>
        <v>0.03</v>
      </c>
      <c r="S57">
        <f>IF(idle_time_ratio_summary[[#This Row],[human_nores_idle_ratio_higher2]]&gt;=0.05,1,0)</f>
        <v>0</v>
      </c>
    </row>
    <row r="58" spans="1:19" x14ac:dyDescent="0.25">
      <c r="A58" t="s">
        <v>79</v>
      </c>
      <c r="B58">
        <v>1.32</v>
      </c>
      <c r="C58">
        <v>0.02</v>
      </c>
      <c r="D58">
        <v>1.97</v>
      </c>
      <c r="E58">
        <v>0.03</v>
      </c>
      <c r="F58">
        <v>-0.01</v>
      </c>
      <c r="G58">
        <v>0</v>
      </c>
      <c r="H58">
        <v>19.32</v>
      </c>
      <c r="I58">
        <v>0.27</v>
      </c>
      <c r="J58">
        <v>15.61</v>
      </c>
      <c r="K58">
        <v>0.23</v>
      </c>
      <c r="L58">
        <v>0.04</v>
      </c>
      <c r="M58">
        <v>1</v>
      </c>
      <c r="N58">
        <f t="shared" si="1"/>
        <v>0</v>
      </c>
      <c r="O58">
        <f>IF(idle_time_ratio_summary[[#This Row],[robot_nores_idle_ratio_higher]]=1,idle_time_ratio_summary[[#This Row],[robot_idle_ratio_diff_nores_minus_dynamic]],0)</f>
        <v>0.04</v>
      </c>
      <c r="P58">
        <f>IF(idle_time_ratio_summary[[#This Row],[robot_nores_idle_ratio_higher]]=0,ABS(idle_time_ratio_summary[[#This Row],[robot_idle_ratio_diff_nores_minus_dynamic]]),0)</f>
        <v>0</v>
      </c>
      <c r="Q58">
        <f>IF(idle_time_ratio_summary[[#This Row],[human_idle_ratio_diff_nores_minus_dynamic]]&gt;0,idle_time_ratio_summary[[#This Row],[human_idle_ratio_diff_nores_minus_dynamic]],0)</f>
        <v>0</v>
      </c>
      <c r="R58">
        <f>IF(idle_time_ratio_summary[[#This Row],[human_idle_ratio_diff_nores_minus_dynamic]]&lt;0,-idle_time_ratio_summary[[#This Row],[human_idle_ratio_diff_nores_minus_dynamic]],0)</f>
        <v>0.01</v>
      </c>
      <c r="S58">
        <f>IF(idle_time_ratio_summary[[#This Row],[human_nores_idle_ratio_higher2]]&gt;=0.05,1,0)</f>
        <v>0</v>
      </c>
    </row>
    <row r="59" spans="1:19" x14ac:dyDescent="0.25">
      <c r="A59" t="s">
        <v>80</v>
      </c>
      <c r="B59">
        <v>6.19</v>
      </c>
      <c r="C59">
        <v>0.09</v>
      </c>
      <c r="D59">
        <v>6.09</v>
      </c>
      <c r="E59">
        <v>0.1</v>
      </c>
      <c r="F59">
        <v>-0.01</v>
      </c>
      <c r="G59">
        <v>0</v>
      </c>
      <c r="H59">
        <v>16.97</v>
      </c>
      <c r="I59">
        <v>0.25</v>
      </c>
      <c r="J59">
        <v>12.2</v>
      </c>
      <c r="K59">
        <v>0.19</v>
      </c>
      <c r="L59">
        <v>0.06</v>
      </c>
      <c r="M59">
        <v>1</v>
      </c>
      <c r="N59">
        <f t="shared" si="1"/>
        <v>1</v>
      </c>
      <c r="O59">
        <f>IF(idle_time_ratio_summary[[#This Row],[robot_nores_idle_ratio_higher]]=1,idle_time_ratio_summary[[#This Row],[robot_idle_ratio_diff_nores_minus_dynamic]],0)</f>
        <v>0.06</v>
      </c>
      <c r="P59">
        <f>IF(idle_time_ratio_summary[[#This Row],[robot_nores_idle_ratio_higher]]=0,ABS(idle_time_ratio_summary[[#This Row],[robot_idle_ratio_diff_nores_minus_dynamic]]),0)</f>
        <v>0</v>
      </c>
      <c r="Q59">
        <f>IF(idle_time_ratio_summary[[#This Row],[human_idle_ratio_diff_nores_minus_dynamic]]&gt;0,idle_time_ratio_summary[[#This Row],[human_idle_ratio_diff_nores_minus_dynamic]],0)</f>
        <v>0</v>
      </c>
      <c r="R59">
        <f>IF(idle_time_ratio_summary[[#This Row],[human_idle_ratio_diff_nores_minus_dynamic]]&lt;0,-idle_time_ratio_summary[[#This Row],[human_idle_ratio_diff_nores_minus_dynamic]],0)</f>
        <v>0.01</v>
      </c>
      <c r="S59">
        <f>IF(idle_time_ratio_summary[[#This Row],[human_nores_idle_ratio_higher2]]&gt;=0.05,1,0)</f>
        <v>0</v>
      </c>
    </row>
    <row r="60" spans="1:19" x14ac:dyDescent="0.25">
      <c r="A60" t="s">
        <v>81</v>
      </c>
      <c r="B60">
        <v>6.56</v>
      </c>
      <c r="C60">
        <v>0.1</v>
      </c>
      <c r="D60">
        <v>9.52</v>
      </c>
      <c r="E60">
        <v>0.14000000000000001</v>
      </c>
      <c r="F60">
        <v>-0.04</v>
      </c>
      <c r="G60">
        <v>0</v>
      </c>
      <c r="H60">
        <v>17.239999999999998</v>
      </c>
      <c r="I60">
        <v>0.25</v>
      </c>
      <c r="J60">
        <v>16.55</v>
      </c>
      <c r="K60">
        <v>0.24</v>
      </c>
      <c r="L60">
        <v>0.01</v>
      </c>
      <c r="M60">
        <v>1</v>
      </c>
      <c r="N60">
        <f t="shared" si="1"/>
        <v>0</v>
      </c>
      <c r="O60">
        <f>IF(idle_time_ratio_summary[[#This Row],[robot_nores_idle_ratio_higher]]=1,idle_time_ratio_summary[[#This Row],[robot_idle_ratio_diff_nores_minus_dynamic]],0)</f>
        <v>0.01</v>
      </c>
      <c r="P60">
        <f>IF(idle_time_ratio_summary[[#This Row],[robot_nores_idle_ratio_higher]]=0,ABS(idle_time_ratio_summary[[#This Row],[robot_idle_ratio_diff_nores_minus_dynamic]]),0)</f>
        <v>0</v>
      </c>
      <c r="Q60">
        <f>IF(idle_time_ratio_summary[[#This Row],[human_idle_ratio_diff_nores_minus_dynamic]]&gt;0,idle_time_ratio_summary[[#This Row],[human_idle_ratio_diff_nores_minus_dynamic]],0)</f>
        <v>0</v>
      </c>
      <c r="R60">
        <f>IF(idle_time_ratio_summary[[#This Row],[human_idle_ratio_diff_nores_minus_dynamic]]&lt;0,-idle_time_ratio_summary[[#This Row],[human_idle_ratio_diff_nores_minus_dynamic]],0)</f>
        <v>0.04</v>
      </c>
      <c r="S60">
        <f>IF(idle_time_ratio_summary[[#This Row],[human_nores_idle_ratio_higher2]]&gt;=0.05,1,0)</f>
        <v>0</v>
      </c>
    </row>
    <row r="61" spans="1:19" x14ac:dyDescent="0.25">
      <c r="A61" t="s">
        <v>82</v>
      </c>
      <c r="B61">
        <v>1.8</v>
      </c>
      <c r="C61">
        <v>0.02</v>
      </c>
      <c r="D61">
        <v>5</v>
      </c>
      <c r="E61">
        <v>0.06</v>
      </c>
      <c r="F61">
        <v>-0.04</v>
      </c>
      <c r="G61">
        <v>0</v>
      </c>
      <c r="H61">
        <v>27.31</v>
      </c>
      <c r="I61">
        <v>0.35</v>
      </c>
      <c r="J61">
        <v>17.690000000000001</v>
      </c>
      <c r="K61">
        <v>0.23</v>
      </c>
      <c r="L61">
        <v>0.12</v>
      </c>
      <c r="M61">
        <v>1</v>
      </c>
      <c r="N61">
        <f t="shared" si="1"/>
        <v>1</v>
      </c>
      <c r="O61">
        <f>IF(idle_time_ratio_summary[[#This Row],[robot_nores_idle_ratio_higher]]=1,idle_time_ratio_summary[[#This Row],[robot_idle_ratio_diff_nores_minus_dynamic]],0)</f>
        <v>0.12</v>
      </c>
      <c r="P61">
        <f>IF(idle_time_ratio_summary[[#This Row],[robot_nores_idle_ratio_higher]]=0,ABS(idle_time_ratio_summary[[#This Row],[robot_idle_ratio_diff_nores_minus_dynamic]]),0)</f>
        <v>0</v>
      </c>
      <c r="Q61">
        <f>IF(idle_time_ratio_summary[[#This Row],[human_idle_ratio_diff_nores_minus_dynamic]]&gt;0,idle_time_ratio_summary[[#This Row],[human_idle_ratio_diff_nores_minus_dynamic]],0)</f>
        <v>0</v>
      </c>
      <c r="R61">
        <f>IF(idle_time_ratio_summary[[#This Row],[human_idle_ratio_diff_nores_minus_dynamic]]&lt;0,-idle_time_ratio_summary[[#This Row],[human_idle_ratio_diff_nores_minus_dynamic]],0)</f>
        <v>0.04</v>
      </c>
      <c r="S61">
        <f>IF(idle_time_ratio_summary[[#This Row],[human_nores_idle_ratio_higher2]]&gt;=0.05,1,0)</f>
        <v>0</v>
      </c>
    </row>
    <row r="62" spans="1:19" x14ac:dyDescent="0.25">
      <c r="A62" t="s">
        <v>83</v>
      </c>
      <c r="B62">
        <v>0</v>
      </c>
      <c r="C62">
        <v>0</v>
      </c>
      <c r="D62">
        <v>3.53</v>
      </c>
      <c r="E62">
        <v>0.05</v>
      </c>
      <c r="F62">
        <v>-0.05</v>
      </c>
      <c r="G62">
        <v>0</v>
      </c>
      <c r="H62">
        <v>20.16</v>
      </c>
      <c r="I62">
        <v>0.28000000000000003</v>
      </c>
      <c r="J62">
        <v>19.39</v>
      </c>
      <c r="K62">
        <v>0.28000000000000003</v>
      </c>
      <c r="L62">
        <v>0</v>
      </c>
      <c r="M62">
        <v>0</v>
      </c>
      <c r="N62">
        <f t="shared" si="1"/>
        <v>0</v>
      </c>
      <c r="O62">
        <f>IF(idle_time_ratio_summary[[#This Row],[robot_nores_idle_ratio_higher]]=1,idle_time_ratio_summary[[#This Row],[robot_idle_ratio_diff_nores_minus_dynamic]],0)</f>
        <v>0</v>
      </c>
      <c r="P62">
        <f>IF(idle_time_ratio_summary[[#This Row],[robot_nores_idle_ratio_higher]]=0,ABS(idle_time_ratio_summary[[#This Row],[robot_idle_ratio_diff_nores_minus_dynamic]]),0)</f>
        <v>0</v>
      </c>
      <c r="Q62">
        <f>IF(idle_time_ratio_summary[[#This Row],[human_idle_ratio_diff_nores_minus_dynamic]]&gt;0,idle_time_ratio_summary[[#This Row],[human_idle_ratio_diff_nores_minus_dynamic]],0)</f>
        <v>0</v>
      </c>
      <c r="R62">
        <f>IF(idle_time_ratio_summary[[#This Row],[human_idle_ratio_diff_nores_minus_dynamic]]&lt;0,-idle_time_ratio_summary[[#This Row],[human_idle_ratio_diff_nores_minus_dynamic]],0)</f>
        <v>0.05</v>
      </c>
      <c r="S62">
        <f>IF(idle_time_ratio_summary[[#This Row],[human_nores_idle_ratio_higher2]]&gt;=0.05,1,0)</f>
        <v>1</v>
      </c>
    </row>
    <row r="63" spans="1:19" x14ac:dyDescent="0.25">
      <c r="A63" t="s">
        <v>84</v>
      </c>
      <c r="B63">
        <v>5.37</v>
      </c>
      <c r="C63">
        <v>0.08</v>
      </c>
      <c r="D63">
        <v>4.24</v>
      </c>
      <c r="E63">
        <v>0.06</v>
      </c>
      <c r="F63">
        <v>0.02</v>
      </c>
      <c r="G63">
        <v>1</v>
      </c>
      <c r="H63">
        <v>19.86</v>
      </c>
      <c r="I63">
        <v>0.28000000000000003</v>
      </c>
      <c r="J63">
        <v>14.52</v>
      </c>
      <c r="K63">
        <v>0.22</v>
      </c>
      <c r="L63">
        <v>0.06</v>
      </c>
      <c r="M63">
        <v>1</v>
      </c>
      <c r="N63">
        <f t="shared" si="1"/>
        <v>1</v>
      </c>
      <c r="O63">
        <f>IF(idle_time_ratio_summary[[#This Row],[robot_nores_idle_ratio_higher]]=1,idle_time_ratio_summary[[#This Row],[robot_idle_ratio_diff_nores_minus_dynamic]],0)</f>
        <v>0.06</v>
      </c>
      <c r="P63">
        <f>IF(idle_time_ratio_summary[[#This Row],[robot_nores_idle_ratio_higher]]=0,ABS(idle_time_ratio_summary[[#This Row],[robot_idle_ratio_diff_nores_minus_dynamic]]),0)</f>
        <v>0</v>
      </c>
      <c r="Q63">
        <f>IF(idle_time_ratio_summary[[#This Row],[human_idle_ratio_diff_nores_minus_dynamic]]&gt;0,idle_time_ratio_summary[[#This Row],[human_idle_ratio_diff_nores_minus_dynamic]],0)</f>
        <v>0.02</v>
      </c>
      <c r="R63">
        <f>IF(idle_time_ratio_summary[[#This Row],[human_idle_ratio_diff_nores_minus_dynamic]]&lt;0,-idle_time_ratio_summary[[#This Row],[human_idle_ratio_diff_nores_minus_dynamic]],0)</f>
        <v>0</v>
      </c>
      <c r="S63">
        <f>IF(idle_time_ratio_summary[[#This Row],[human_nores_idle_ratio_higher2]]&gt;=0.05,1,0)</f>
        <v>0</v>
      </c>
    </row>
    <row r="64" spans="1:19" s="15" customFormat="1" x14ac:dyDescent="0.25">
      <c r="A64" s="15" t="s">
        <v>124</v>
      </c>
      <c r="B64" s="15">
        <v>13.78</v>
      </c>
      <c r="C64" s="15">
        <v>0.2</v>
      </c>
      <c r="D64" s="15">
        <v>13.84</v>
      </c>
      <c r="E64" s="15">
        <v>0.2</v>
      </c>
      <c r="F64" s="15">
        <v>0</v>
      </c>
      <c r="G64" s="15">
        <v>0</v>
      </c>
      <c r="H64" s="15">
        <v>17.29</v>
      </c>
      <c r="I64" s="15">
        <v>0.25</v>
      </c>
      <c r="J64" s="15">
        <v>17.32</v>
      </c>
      <c r="K64" s="15">
        <v>0.25</v>
      </c>
      <c r="L64" s="15">
        <v>0</v>
      </c>
      <c r="M64" s="15">
        <v>0</v>
      </c>
      <c r="N64" s="15">
        <f t="shared" si="1"/>
        <v>0</v>
      </c>
      <c r="O64" s="15">
        <f>IF(idle_time_ratio_summary[[#This Row],[robot_nores_idle_ratio_higher]]=1,idle_time_ratio_summary[[#This Row],[robot_idle_ratio_diff_nores_minus_dynamic]],0)</f>
        <v>0</v>
      </c>
      <c r="P64" s="15">
        <f>IF(idle_time_ratio_summary[[#This Row],[robot_nores_idle_ratio_higher]]=0,ABS(idle_time_ratio_summary[[#This Row],[robot_idle_ratio_diff_nores_minus_dynamic]]),0)</f>
        <v>0</v>
      </c>
      <c r="Q64" s="16">
        <f>IF(idle_time_ratio_summary[[#This Row],[human_idle_ratio_diff_nores_minus_dynamic]]&gt;0,idle_time_ratio_summary[[#This Row],[human_idle_ratio_diff_nores_minus_dynamic]],0)</f>
        <v>0</v>
      </c>
      <c r="R64" s="16">
        <f>IF(idle_time_ratio_summary[[#This Row],[human_idle_ratio_diff_nores_minus_dynamic]]&lt;0,-idle_time_ratio_summary[[#This Row],[human_idle_ratio_diff_nores_minus_dynamic]],0)</f>
        <v>0</v>
      </c>
      <c r="S64" s="16">
        <f>IF(idle_time_ratio_summary[[#This Row],[human_nores_idle_ratio_higher2]]&gt;=0.05,1,0)</f>
        <v>0</v>
      </c>
    </row>
    <row r="65" spans="1:19" x14ac:dyDescent="0.25">
      <c r="A65" t="s">
        <v>85</v>
      </c>
      <c r="B65">
        <v>2.42</v>
      </c>
      <c r="C65">
        <v>0.03</v>
      </c>
      <c r="D65">
        <v>2.92</v>
      </c>
      <c r="E65">
        <v>0.04</v>
      </c>
      <c r="F65">
        <v>-0.01</v>
      </c>
      <c r="G65">
        <v>0</v>
      </c>
      <c r="H65">
        <v>18.97</v>
      </c>
      <c r="I65">
        <v>0.27</v>
      </c>
      <c r="J65">
        <v>19.47</v>
      </c>
      <c r="K65">
        <v>0.28000000000000003</v>
      </c>
      <c r="L65">
        <v>-0.01</v>
      </c>
      <c r="M65">
        <v>0</v>
      </c>
      <c r="N65">
        <f t="shared" si="1"/>
        <v>0</v>
      </c>
      <c r="O65">
        <f>IF(idle_time_ratio_summary[[#This Row],[robot_nores_idle_ratio_higher]]=1,idle_time_ratio_summary[[#This Row],[robot_idle_ratio_diff_nores_minus_dynamic]],0)</f>
        <v>0</v>
      </c>
      <c r="P65">
        <f>IF(idle_time_ratio_summary[[#This Row],[robot_nores_idle_ratio_higher]]=0,ABS(idle_time_ratio_summary[[#This Row],[robot_idle_ratio_diff_nores_minus_dynamic]]),0)</f>
        <v>0.01</v>
      </c>
      <c r="Q65">
        <f>IF(idle_time_ratio_summary[[#This Row],[human_idle_ratio_diff_nores_minus_dynamic]]&gt;0,idle_time_ratio_summary[[#This Row],[human_idle_ratio_diff_nores_minus_dynamic]],0)</f>
        <v>0</v>
      </c>
      <c r="R65">
        <f>IF(idle_time_ratio_summary[[#This Row],[human_idle_ratio_diff_nores_minus_dynamic]]&lt;0,-idle_time_ratio_summary[[#This Row],[human_idle_ratio_diff_nores_minus_dynamic]],0)</f>
        <v>0.01</v>
      </c>
      <c r="S65">
        <f>IF(idle_time_ratio_summary[[#This Row],[human_nores_idle_ratio_higher2]]&gt;=0.05,1,0)</f>
        <v>0</v>
      </c>
    </row>
    <row r="66" spans="1:19" x14ac:dyDescent="0.25">
      <c r="A66" t="s">
        <v>86</v>
      </c>
      <c r="B66">
        <v>10.26</v>
      </c>
      <c r="C66">
        <v>0.15</v>
      </c>
      <c r="D66">
        <v>8.9499999999999993</v>
      </c>
      <c r="E66">
        <v>0.13</v>
      </c>
      <c r="F66">
        <v>0.02</v>
      </c>
      <c r="G66">
        <v>1</v>
      </c>
      <c r="H66">
        <v>16.75</v>
      </c>
      <c r="I66">
        <v>0.25</v>
      </c>
      <c r="J66">
        <v>15.47</v>
      </c>
      <c r="K66">
        <v>0.23</v>
      </c>
      <c r="L66">
        <v>0.02</v>
      </c>
      <c r="M66">
        <v>1</v>
      </c>
      <c r="N66">
        <f t="shared" ref="N66:N77" si="2">IF(L66&gt;=0.05,1,0)</f>
        <v>0</v>
      </c>
      <c r="O66">
        <f>IF(idle_time_ratio_summary[[#This Row],[robot_nores_idle_ratio_higher]]=1,idle_time_ratio_summary[[#This Row],[robot_idle_ratio_diff_nores_minus_dynamic]],0)</f>
        <v>0.02</v>
      </c>
      <c r="P66">
        <f>IF(idle_time_ratio_summary[[#This Row],[robot_nores_idle_ratio_higher]]=0,ABS(idle_time_ratio_summary[[#This Row],[robot_idle_ratio_diff_nores_minus_dynamic]]),0)</f>
        <v>0</v>
      </c>
      <c r="Q66">
        <f>IF(idle_time_ratio_summary[[#This Row],[human_idle_ratio_diff_nores_minus_dynamic]]&gt;0,idle_time_ratio_summary[[#This Row],[human_idle_ratio_diff_nores_minus_dynamic]],0)</f>
        <v>0.02</v>
      </c>
      <c r="R66">
        <f>IF(idle_time_ratio_summary[[#This Row],[human_idle_ratio_diff_nores_minus_dynamic]]&lt;0,-idle_time_ratio_summary[[#This Row],[human_idle_ratio_diff_nores_minus_dynamic]],0)</f>
        <v>0</v>
      </c>
      <c r="S66">
        <f>IF(idle_time_ratio_summary[[#This Row],[human_nores_idle_ratio_higher2]]&gt;=0.05,1,0)</f>
        <v>0</v>
      </c>
    </row>
    <row r="67" spans="1:19" x14ac:dyDescent="0.25">
      <c r="A67" t="s">
        <v>87</v>
      </c>
      <c r="B67">
        <v>1.51</v>
      </c>
      <c r="C67">
        <v>0.02</v>
      </c>
      <c r="D67">
        <v>2.17</v>
      </c>
      <c r="E67">
        <v>0.03</v>
      </c>
      <c r="F67">
        <v>-0.01</v>
      </c>
      <c r="G67">
        <v>0</v>
      </c>
      <c r="H67">
        <v>20.83</v>
      </c>
      <c r="I67">
        <v>0.28999999999999998</v>
      </c>
      <c r="J67">
        <v>21.5</v>
      </c>
      <c r="K67">
        <v>0.3</v>
      </c>
      <c r="L67">
        <v>-0.01</v>
      </c>
      <c r="M67">
        <v>0</v>
      </c>
      <c r="N67">
        <f t="shared" si="2"/>
        <v>0</v>
      </c>
      <c r="O67">
        <f>IF(idle_time_ratio_summary[[#This Row],[robot_nores_idle_ratio_higher]]=1,idle_time_ratio_summary[[#This Row],[robot_idle_ratio_diff_nores_minus_dynamic]],0)</f>
        <v>0</v>
      </c>
      <c r="P67">
        <f>IF(idle_time_ratio_summary[[#This Row],[robot_nores_idle_ratio_higher]]=0,ABS(idle_time_ratio_summary[[#This Row],[robot_idle_ratio_diff_nores_minus_dynamic]]),0)</f>
        <v>0.01</v>
      </c>
      <c r="Q67">
        <f>IF(idle_time_ratio_summary[[#This Row],[human_idle_ratio_diff_nores_minus_dynamic]]&gt;0,idle_time_ratio_summary[[#This Row],[human_idle_ratio_diff_nores_minus_dynamic]],0)</f>
        <v>0</v>
      </c>
      <c r="R67">
        <f>IF(idle_time_ratio_summary[[#This Row],[human_idle_ratio_diff_nores_minus_dynamic]]&lt;0,-idle_time_ratio_summary[[#This Row],[human_idle_ratio_diff_nores_minus_dynamic]],0)</f>
        <v>0.01</v>
      </c>
      <c r="S67">
        <f>IF(idle_time_ratio_summary[[#This Row],[human_nores_idle_ratio_higher2]]&gt;=0.05,1,0)</f>
        <v>0</v>
      </c>
    </row>
    <row r="68" spans="1:19" x14ac:dyDescent="0.25">
      <c r="A68" t="s">
        <v>88</v>
      </c>
      <c r="B68">
        <v>1.7</v>
      </c>
      <c r="C68">
        <v>0.02</v>
      </c>
      <c r="D68">
        <v>5.7</v>
      </c>
      <c r="E68">
        <v>7.0000000000000007E-2</v>
      </c>
      <c r="F68">
        <v>-0.05</v>
      </c>
      <c r="G68">
        <v>0</v>
      </c>
      <c r="H68">
        <v>29.68</v>
      </c>
      <c r="I68">
        <v>0.37</v>
      </c>
      <c r="J68">
        <v>20.84</v>
      </c>
      <c r="K68">
        <v>0.26</v>
      </c>
      <c r="L68">
        <v>0.11</v>
      </c>
      <c r="M68">
        <v>1</v>
      </c>
      <c r="N68">
        <f t="shared" si="2"/>
        <v>1</v>
      </c>
      <c r="O68">
        <f>IF(idle_time_ratio_summary[[#This Row],[robot_nores_idle_ratio_higher]]=1,idle_time_ratio_summary[[#This Row],[robot_idle_ratio_diff_nores_minus_dynamic]],0)</f>
        <v>0.11</v>
      </c>
      <c r="P68">
        <f>IF(idle_time_ratio_summary[[#This Row],[robot_nores_idle_ratio_higher]]=0,ABS(idle_time_ratio_summary[[#This Row],[robot_idle_ratio_diff_nores_minus_dynamic]]),0)</f>
        <v>0</v>
      </c>
      <c r="Q68">
        <f>IF(idle_time_ratio_summary[[#This Row],[human_idle_ratio_diff_nores_minus_dynamic]]&gt;0,idle_time_ratio_summary[[#This Row],[human_idle_ratio_diff_nores_minus_dynamic]],0)</f>
        <v>0</v>
      </c>
      <c r="R68">
        <f>IF(idle_time_ratio_summary[[#This Row],[human_idle_ratio_diff_nores_minus_dynamic]]&lt;0,-idle_time_ratio_summary[[#This Row],[human_idle_ratio_diff_nores_minus_dynamic]],0)</f>
        <v>0.05</v>
      </c>
      <c r="S68">
        <f>IF(idle_time_ratio_summary[[#This Row],[human_nores_idle_ratio_higher2]]&gt;=0.05,1,0)</f>
        <v>1</v>
      </c>
    </row>
    <row r="69" spans="1:19" x14ac:dyDescent="0.25">
      <c r="A69" t="s">
        <v>89</v>
      </c>
      <c r="B69">
        <v>2.56</v>
      </c>
      <c r="C69">
        <v>0.03</v>
      </c>
      <c r="D69">
        <v>6.97</v>
      </c>
      <c r="E69">
        <v>0.09</v>
      </c>
      <c r="F69">
        <v>-0.06</v>
      </c>
      <c r="G69">
        <v>0</v>
      </c>
      <c r="H69">
        <v>26.49</v>
      </c>
      <c r="I69">
        <v>0.34</v>
      </c>
      <c r="J69">
        <v>13.39</v>
      </c>
      <c r="K69">
        <v>0.18</v>
      </c>
      <c r="L69">
        <v>0.16</v>
      </c>
      <c r="M69">
        <v>1</v>
      </c>
      <c r="N69">
        <f t="shared" si="2"/>
        <v>1</v>
      </c>
      <c r="O69">
        <f>IF(idle_time_ratio_summary[[#This Row],[robot_nores_idle_ratio_higher]]=1,idle_time_ratio_summary[[#This Row],[robot_idle_ratio_diff_nores_minus_dynamic]],0)</f>
        <v>0.16</v>
      </c>
      <c r="P69">
        <f>IF(idle_time_ratio_summary[[#This Row],[robot_nores_idle_ratio_higher]]=0,ABS(idle_time_ratio_summary[[#This Row],[robot_idle_ratio_diff_nores_minus_dynamic]]),0)</f>
        <v>0</v>
      </c>
      <c r="Q69">
        <f>IF(idle_time_ratio_summary[[#This Row],[human_idle_ratio_diff_nores_minus_dynamic]]&gt;0,idle_time_ratio_summary[[#This Row],[human_idle_ratio_diff_nores_minus_dynamic]],0)</f>
        <v>0</v>
      </c>
      <c r="R69">
        <f>IF(idle_time_ratio_summary[[#This Row],[human_idle_ratio_diff_nores_minus_dynamic]]&lt;0,-idle_time_ratio_summary[[#This Row],[human_idle_ratio_diff_nores_minus_dynamic]],0)</f>
        <v>0.06</v>
      </c>
      <c r="S69">
        <f>IF(idle_time_ratio_summary[[#This Row],[human_nores_idle_ratio_higher2]]&gt;=0.05,1,0)</f>
        <v>1</v>
      </c>
    </row>
    <row r="70" spans="1:19" x14ac:dyDescent="0.25">
      <c r="A70" t="s">
        <v>90</v>
      </c>
      <c r="B70">
        <v>3.02</v>
      </c>
      <c r="C70">
        <v>0.04</v>
      </c>
      <c r="D70">
        <v>4.41</v>
      </c>
      <c r="E70">
        <v>0.05</v>
      </c>
      <c r="F70">
        <v>-0.01</v>
      </c>
      <c r="G70">
        <v>0</v>
      </c>
      <c r="H70">
        <v>30.15</v>
      </c>
      <c r="I70">
        <v>0.37</v>
      </c>
      <c r="J70">
        <v>31.54</v>
      </c>
      <c r="K70">
        <v>0.38</v>
      </c>
      <c r="L70">
        <v>-0.01</v>
      </c>
      <c r="M70">
        <v>0</v>
      </c>
      <c r="N70">
        <f t="shared" si="2"/>
        <v>0</v>
      </c>
      <c r="O70">
        <f>IF(idle_time_ratio_summary[[#This Row],[robot_nores_idle_ratio_higher]]=1,idle_time_ratio_summary[[#This Row],[robot_idle_ratio_diff_nores_minus_dynamic]],0)</f>
        <v>0</v>
      </c>
      <c r="P70">
        <f>IF(idle_time_ratio_summary[[#This Row],[robot_nores_idle_ratio_higher]]=0,ABS(idle_time_ratio_summary[[#This Row],[robot_idle_ratio_diff_nores_minus_dynamic]]),0)</f>
        <v>0.01</v>
      </c>
      <c r="Q70">
        <f>IF(idle_time_ratio_summary[[#This Row],[human_idle_ratio_diff_nores_minus_dynamic]]&gt;0,idle_time_ratio_summary[[#This Row],[human_idle_ratio_diff_nores_minus_dynamic]],0)</f>
        <v>0</v>
      </c>
      <c r="R70">
        <f>IF(idle_time_ratio_summary[[#This Row],[human_idle_ratio_diff_nores_minus_dynamic]]&lt;0,-idle_time_ratio_summary[[#This Row],[human_idle_ratio_diff_nores_minus_dynamic]],0)</f>
        <v>0.01</v>
      </c>
      <c r="S70">
        <f>IF(idle_time_ratio_summary[[#This Row],[human_nores_idle_ratio_higher2]]&gt;=0.05,1,0)</f>
        <v>0</v>
      </c>
    </row>
    <row r="71" spans="1:19" x14ac:dyDescent="0.25">
      <c r="A71" t="s">
        <v>91</v>
      </c>
      <c r="B71">
        <v>4.6500000000000004</v>
      </c>
      <c r="C71">
        <v>0.05</v>
      </c>
      <c r="D71">
        <v>11.53</v>
      </c>
      <c r="E71">
        <v>0.12</v>
      </c>
      <c r="F71">
        <v>-7.0000000000000007E-2</v>
      </c>
      <c r="G71">
        <v>0</v>
      </c>
      <c r="H71">
        <v>42.37</v>
      </c>
      <c r="I71">
        <v>0.45</v>
      </c>
      <c r="J71">
        <v>35.99</v>
      </c>
      <c r="K71">
        <v>0.37</v>
      </c>
      <c r="L71">
        <v>0.08</v>
      </c>
      <c r="M71">
        <v>1</v>
      </c>
      <c r="N71">
        <f t="shared" si="2"/>
        <v>1</v>
      </c>
      <c r="O71">
        <f>IF(idle_time_ratio_summary[[#This Row],[robot_nores_idle_ratio_higher]]=1,idle_time_ratio_summary[[#This Row],[robot_idle_ratio_diff_nores_minus_dynamic]],0)</f>
        <v>0.08</v>
      </c>
      <c r="P71">
        <f>IF(idle_time_ratio_summary[[#This Row],[robot_nores_idle_ratio_higher]]=0,ABS(idle_time_ratio_summary[[#This Row],[robot_idle_ratio_diff_nores_minus_dynamic]]),0)</f>
        <v>0</v>
      </c>
      <c r="Q71">
        <f>IF(idle_time_ratio_summary[[#This Row],[human_idle_ratio_diff_nores_minus_dynamic]]&gt;0,idle_time_ratio_summary[[#This Row],[human_idle_ratio_diff_nores_minus_dynamic]],0)</f>
        <v>0</v>
      </c>
      <c r="R71">
        <f>IF(idle_time_ratio_summary[[#This Row],[human_idle_ratio_diff_nores_minus_dynamic]]&lt;0,-idle_time_ratio_summary[[#This Row],[human_idle_ratio_diff_nores_minus_dynamic]],0)</f>
        <v>7.0000000000000007E-2</v>
      </c>
      <c r="S71">
        <f>IF(idle_time_ratio_summary[[#This Row],[human_nores_idle_ratio_higher2]]&gt;=0.05,1,0)</f>
        <v>1</v>
      </c>
    </row>
    <row r="72" spans="1:19" x14ac:dyDescent="0.25">
      <c r="A72" t="s">
        <v>92</v>
      </c>
      <c r="B72">
        <v>1.17</v>
      </c>
      <c r="C72">
        <v>0.02</v>
      </c>
      <c r="D72">
        <v>4.16</v>
      </c>
      <c r="E72">
        <v>0.06</v>
      </c>
      <c r="F72">
        <v>-0.04</v>
      </c>
      <c r="G72">
        <v>0</v>
      </c>
      <c r="H72">
        <v>21.33</v>
      </c>
      <c r="I72">
        <v>0.28999999999999998</v>
      </c>
      <c r="J72">
        <v>24.3</v>
      </c>
      <c r="K72">
        <v>0.32</v>
      </c>
      <c r="L72">
        <v>-0.03</v>
      </c>
      <c r="M72">
        <v>0</v>
      </c>
      <c r="N72">
        <f t="shared" si="2"/>
        <v>0</v>
      </c>
      <c r="O72">
        <f>IF(idle_time_ratio_summary[[#This Row],[robot_nores_idle_ratio_higher]]=1,idle_time_ratio_summary[[#This Row],[robot_idle_ratio_diff_nores_minus_dynamic]],0)</f>
        <v>0</v>
      </c>
      <c r="P72">
        <f>IF(idle_time_ratio_summary[[#This Row],[robot_nores_idle_ratio_higher]]=0,ABS(idle_time_ratio_summary[[#This Row],[robot_idle_ratio_diff_nores_minus_dynamic]]),0)</f>
        <v>0.03</v>
      </c>
      <c r="Q72">
        <f>IF(idle_time_ratio_summary[[#This Row],[human_idle_ratio_diff_nores_minus_dynamic]]&gt;0,idle_time_ratio_summary[[#This Row],[human_idle_ratio_diff_nores_minus_dynamic]],0)</f>
        <v>0</v>
      </c>
      <c r="R72">
        <f>IF(idle_time_ratio_summary[[#This Row],[human_idle_ratio_diff_nores_minus_dynamic]]&lt;0,-idle_time_ratio_summary[[#This Row],[human_idle_ratio_diff_nores_minus_dynamic]],0)</f>
        <v>0.04</v>
      </c>
      <c r="S72">
        <f>IF(idle_time_ratio_summary[[#This Row],[human_nores_idle_ratio_higher2]]&gt;=0.05,1,0)</f>
        <v>0</v>
      </c>
    </row>
    <row r="73" spans="1:19" x14ac:dyDescent="0.25">
      <c r="A73" t="s">
        <v>93</v>
      </c>
      <c r="B73">
        <v>0.62</v>
      </c>
      <c r="C73">
        <v>0.01</v>
      </c>
      <c r="D73">
        <v>1.5</v>
      </c>
      <c r="E73">
        <v>0.02</v>
      </c>
      <c r="F73">
        <v>-0.01</v>
      </c>
      <c r="G73">
        <v>0</v>
      </c>
      <c r="H73">
        <v>19.059999999999999</v>
      </c>
      <c r="I73">
        <v>0.27</v>
      </c>
      <c r="J73">
        <v>19.93</v>
      </c>
      <c r="K73">
        <v>0.28000000000000003</v>
      </c>
      <c r="L73">
        <v>-0.01</v>
      </c>
      <c r="M73">
        <v>0</v>
      </c>
      <c r="N73">
        <f t="shared" si="2"/>
        <v>0</v>
      </c>
      <c r="O73">
        <f>IF(idle_time_ratio_summary[[#This Row],[robot_nores_idle_ratio_higher]]=1,idle_time_ratio_summary[[#This Row],[robot_idle_ratio_diff_nores_minus_dynamic]],0)</f>
        <v>0</v>
      </c>
      <c r="P73">
        <f>IF(idle_time_ratio_summary[[#This Row],[robot_nores_idle_ratio_higher]]=0,ABS(idle_time_ratio_summary[[#This Row],[robot_idle_ratio_diff_nores_minus_dynamic]]),0)</f>
        <v>0.01</v>
      </c>
      <c r="Q73">
        <f>IF(idle_time_ratio_summary[[#This Row],[human_idle_ratio_diff_nores_minus_dynamic]]&gt;0,idle_time_ratio_summary[[#This Row],[human_idle_ratio_diff_nores_minus_dynamic]],0)</f>
        <v>0</v>
      </c>
      <c r="R73">
        <f>IF(idle_time_ratio_summary[[#This Row],[human_idle_ratio_diff_nores_minus_dynamic]]&lt;0,-idle_time_ratio_summary[[#This Row],[human_idle_ratio_diff_nores_minus_dynamic]],0)</f>
        <v>0.01</v>
      </c>
      <c r="S73">
        <f>IF(idle_time_ratio_summary[[#This Row],[human_nores_idle_ratio_higher2]]&gt;=0.05,1,0)</f>
        <v>0</v>
      </c>
    </row>
    <row r="74" spans="1:19" x14ac:dyDescent="0.25">
      <c r="A74" t="s">
        <v>94</v>
      </c>
      <c r="B74">
        <v>2.06</v>
      </c>
      <c r="C74">
        <v>0.03</v>
      </c>
      <c r="D74">
        <v>2.7</v>
      </c>
      <c r="E74">
        <v>0.04</v>
      </c>
      <c r="F74">
        <v>-0.01</v>
      </c>
      <c r="G74">
        <v>0</v>
      </c>
      <c r="H74">
        <v>19.21</v>
      </c>
      <c r="I74">
        <v>0.27</v>
      </c>
      <c r="J74">
        <v>15.8</v>
      </c>
      <c r="K74">
        <v>0.24</v>
      </c>
      <c r="L74">
        <v>0.03</v>
      </c>
      <c r="M74">
        <v>1</v>
      </c>
      <c r="N74">
        <f t="shared" si="2"/>
        <v>0</v>
      </c>
      <c r="O74">
        <f>IF(idle_time_ratio_summary[[#This Row],[robot_nores_idle_ratio_higher]]=1,idle_time_ratio_summary[[#This Row],[robot_idle_ratio_diff_nores_minus_dynamic]],0)</f>
        <v>0.03</v>
      </c>
      <c r="P74">
        <f>IF(idle_time_ratio_summary[[#This Row],[robot_nores_idle_ratio_higher]]=0,ABS(idle_time_ratio_summary[[#This Row],[robot_idle_ratio_diff_nores_minus_dynamic]]),0)</f>
        <v>0</v>
      </c>
      <c r="Q74">
        <f>IF(idle_time_ratio_summary[[#This Row],[human_idle_ratio_diff_nores_minus_dynamic]]&gt;0,idle_time_ratio_summary[[#This Row],[human_idle_ratio_diff_nores_minus_dynamic]],0)</f>
        <v>0</v>
      </c>
      <c r="R74">
        <f>IF(idle_time_ratio_summary[[#This Row],[human_idle_ratio_diff_nores_minus_dynamic]]&lt;0,-idle_time_ratio_summary[[#This Row],[human_idle_ratio_diff_nores_minus_dynamic]],0)</f>
        <v>0.01</v>
      </c>
      <c r="S74">
        <f>IF(idle_time_ratio_summary[[#This Row],[human_nores_idle_ratio_higher2]]&gt;=0.05,1,0)</f>
        <v>0</v>
      </c>
    </row>
    <row r="75" spans="1:19" x14ac:dyDescent="0.25">
      <c r="A75" t="s">
        <v>95</v>
      </c>
      <c r="B75">
        <v>9.6999999999999993</v>
      </c>
      <c r="C75">
        <v>0.14000000000000001</v>
      </c>
      <c r="D75">
        <v>10.039999999999999</v>
      </c>
      <c r="E75">
        <v>0.15</v>
      </c>
      <c r="F75">
        <v>-0.01</v>
      </c>
      <c r="G75">
        <v>0</v>
      </c>
      <c r="H75">
        <v>17.239999999999998</v>
      </c>
      <c r="I75">
        <v>0.25</v>
      </c>
      <c r="J75">
        <v>17.54</v>
      </c>
      <c r="K75">
        <v>0.26</v>
      </c>
      <c r="L75">
        <v>-0.01</v>
      </c>
      <c r="M75">
        <v>0</v>
      </c>
      <c r="N75">
        <f t="shared" si="2"/>
        <v>0</v>
      </c>
      <c r="O75">
        <f>IF(idle_time_ratio_summary[[#This Row],[robot_nores_idle_ratio_higher]]=1,idle_time_ratio_summary[[#This Row],[robot_idle_ratio_diff_nores_minus_dynamic]],0)</f>
        <v>0</v>
      </c>
      <c r="P75">
        <f>IF(idle_time_ratio_summary[[#This Row],[robot_nores_idle_ratio_higher]]=0,ABS(idle_time_ratio_summary[[#This Row],[robot_idle_ratio_diff_nores_minus_dynamic]]),0)</f>
        <v>0.01</v>
      </c>
      <c r="Q75">
        <f>IF(idle_time_ratio_summary[[#This Row],[human_idle_ratio_diff_nores_minus_dynamic]]&gt;0,idle_time_ratio_summary[[#This Row],[human_idle_ratio_diff_nores_minus_dynamic]],0)</f>
        <v>0</v>
      </c>
      <c r="R75">
        <f>IF(idle_time_ratio_summary[[#This Row],[human_idle_ratio_diff_nores_minus_dynamic]]&lt;0,-idle_time_ratio_summary[[#This Row],[human_idle_ratio_diff_nores_minus_dynamic]],0)</f>
        <v>0.01</v>
      </c>
      <c r="S75">
        <f>IF(idle_time_ratio_summary[[#This Row],[human_nores_idle_ratio_higher2]]&gt;=0.05,1,0)</f>
        <v>0</v>
      </c>
    </row>
    <row r="76" spans="1:19" x14ac:dyDescent="0.25">
      <c r="A76" t="s">
        <v>96</v>
      </c>
      <c r="B76">
        <v>0</v>
      </c>
      <c r="C76">
        <v>0</v>
      </c>
      <c r="D76">
        <v>3.6</v>
      </c>
      <c r="E76">
        <v>0.04</v>
      </c>
      <c r="F76">
        <v>-0.04</v>
      </c>
      <c r="G76">
        <v>0</v>
      </c>
      <c r="H76">
        <v>31.3</v>
      </c>
      <c r="I76">
        <v>0.38</v>
      </c>
      <c r="J76">
        <v>22.42</v>
      </c>
      <c r="K76">
        <v>0.27</v>
      </c>
      <c r="L76">
        <v>0.11</v>
      </c>
      <c r="M76">
        <v>1</v>
      </c>
      <c r="N76">
        <f t="shared" si="2"/>
        <v>1</v>
      </c>
      <c r="O76">
        <f>IF(idle_time_ratio_summary[[#This Row],[robot_nores_idle_ratio_higher]]=1,idle_time_ratio_summary[[#This Row],[robot_idle_ratio_diff_nores_minus_dynamic]],0)</f>
        <v>0.11</v>
      </c>
      <c r="P76">
        <f>IF(idle_time_ratio_summary[[#This Row],[robot_nores_idle_ratio_higher]]=0,ABS(idle_time_ratio_summary[[#This Row],[robot_idle_ratio_diff_nores_minus_dynamic]]),0)</f>
        <v>0</v>
      </c>
      <c r="Q76">
        <f>IF(idle_time_ratio_summary[[#This Row],[human_idle_ratio_diff_nores_minus_dynamic]]&gt;0,idle_time_ratio_summary[[#This Row],[human_idle_ratio_diff_nores_minus_dynamic]],0)</f>
        <v>0</v>
      </c>
      <c r="R76">
        <f>IF(idle_time_ratio_summary[[#This Row],[human_idle_ratio_diff_nores_minus_dynamic]]&lt;0,-idle_time_ratio_summary[[#This Row],[human_idle_ratio_diff_nores_minus_dynamic]],0)</f>
        <v>0.04</v>
      </c>
      <c r="S76">
        <f>IF(idle_time_ratio_summary[[#This Row],[human_nores_idle_ratio_higher2]]&gt;=0.05,1,0)</f>
        <v>0</v>
      </c>
    </row>
    <row r="77" spans="1:19" x14ac:dyDescent="0.25">
      <c r="A77" t="s">
        <v>97</v>
      </c>
      <c r="B77">
        <v>2.92</v>
      </c>
      <c r="C77">
        <v>0.04</v>
      </c>
      <c r="D77">
        <v>9.48</v>
      </c>
      <c r="E77">
        <v>0.12</v>
      </c>
      <c r="F77">
        <v>-0.08</v>
      </c>
      <c r="G77">
        <v>0</v>
      </c>
      <c r="H77">
        <v>25.3</v>
      </c>
      <c r="I77">
        <v>0.33</v>
      </c>
      <c r="J77">
        <v>19.61</v>
      </c>
      <c r="K77">
        <v>0.25</v>
      </c>
      <c r="L77">
        <v>0.08</v>
      </c>
      <c r="M77">
        <v>1</v>
      </c>
      <c r="N77">
        <f t="shared" si="2"/>
        <v>1</v>
      </c>
      <c r="O77">
        <f>IF(idle_time_ratio_summary[[#This Row],[robot_nores_idle_ratio_higher]]=1,idle_time_ratio_summary[[#This Row],[robot_idle_ratio_diff_nores_minus_dynamic]],0)</f>
        <v>0.08</v>
      </c>
      <c r="P77">
        <f>IF(idle_time_ratio_summary[[#This Row],[robot_nores_idle_ratio_higher]]=0,ABS(idle_time_ratio_summary[[#This Row],[robot_idle_ratio_diff_nores_minus_dynamic]]),0)</f>
        <v>0</v>
      </c>
      <c r="Q77">
        <f>IF(idle_time_ratio_summary[[#This Row],[human_idle_ratio_diff_nores_minus_dynamic]]&gt;0,idle_time_ratio_summary[[#This Row],[human_idle_ratio_diff_nores_minus_dynamic]],0)</f>
        <v>0</v>
      </c>
      <c r="R77">
        <f>IF(idle_time_ratio_summary[[#This Row],[human_idle_ratio_diff_nores_minus_dynamic]]&lt;0,-idle_time_ratio_summary[[#This Row],[human_idle_ratio_diff_nores_minus_dynamic]],0)</f>
        <v>0.08</v>
      </c>
      <c r="S77">
        <f>IF(idle_time_ratio_summary[[#This Row],[human_nores_idle_ratio_higher2]]&gt;=0.05,1,0)</f>
        <v>1</v>
      </c>
    </row>
    <row r="78" spans="1:19" x14ac:dyDescent="0.25">
      <c r="A78" t="s">
        <v>300</v>
      </c>
      <c r="F78" s="14"/>
      <c r="G78">
        <f>SUM(G2:G77)</f>
        <v>11</v>
      </c>
      <c r="L78" s="13"/>
      <c r="M78">
        <f t="shared" ref="M78:N78" si="3">SUM(M2:M77)</f>
        <v>54</v>
      </c>
      <c r="N78">
        <f t="shared" si="3"/>
        <v>38</v>
      </c>
      <c r="O78">
        <f>IF(idle_time_ratio_summary[[#This Row],[robot_nores_idle_ratio_higher]]=1,idle_time_ratio_summary[[#This Row],[robot_idle_ratio_diff_nores_minus_dynamic]],0)</f>
        <v>0</v>
      </c>
      <c r="P78">
        <f>IF(idle_time_ratio_summary[[#This Row],[robot_nores_idle_ratio_higher]]=0,ABS(idle_time_ratio_summary[[#This Row],[robot_idle_ratio_diff_nores_minus_dynamic]]),0)</f>
        <v>0</v>
      </c>
      <c r="Q78">
        <f>IF(idle_time_ratio_summary[[#This Row],[human_idle_ratio_diff_nores_minus_dynamic]]&gt;0,idle_time_ratio_summary[[#This Row],[human_idle_ratio_diff_nores_minus_dynamic]],0)</f>
        <v>0</v>
      </c>
      <c r="R78">
        <f>IF(idle_time_ratio_summary[[#This Row],[human_idle_ratio_diff_nores_minus_dynamic]]&lt;0,-idle_time_ratio_summary[[#This Row],[human_idle_ratio_diff_nores_minus_dynamic]],0)</f>
        <v>0</v>
      </c>
      <c r="S78">
        <f>IF(idle_time_ratio_summary[[#This Row],[human_nores_idle_ratio_higher2]]&gt;=0.05,1,0)</f>
        <v>0</v>
      </c>
    </row>
    <row r="79" spans="1:19" x14ac:dyDescent="0.25">
      <c r="O79">
        <f>SUBTOTAL(109,idle_time_ratio_summary[robot_nores_idle_ratio_higher_effect])/71</f>
        <v>6.5633802816901413E-2</v>
      </c>
      <c r="P79">
        <f>SUBTOTAL(109,idle_time_ratio_summary[robot_dynamic_idle_ratio_higher_effect])/71</f>
        <v>2.8169014084507048E-3</v>
      </c>
      <c r="Q79">
        <f>SUBTOTAL(109,idle_time_ratio_summary[human_nores_idle_ratio_higher_effect])/71</f>
        <v>4.0845070422535212E-3</v>
      </c>
      <c r="R79">
        <f>SUBTOTAL(109,idle_time_ratio_summary[human_nores_idle_ratio_higher2])/71</f>
        <v>3.2535211267605633E-2</v>
      </c>
      <c r="S79">
        <f>SUBTOTAL(109,idle_time_ratio_summary[human_nores_idle_ratio_higher5pct])</f>
        <v>19</v>
      </c>
    </row>
  </sheetData>
  <phoneticPr fontId="18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175D-4924-415E-8B50-F6E5EFEB5168}">
  <dimension ref="A1:O77"/>
  <sheetViews>
    <sheetView workbookViewId="0">
      <selection activeCell="J84" sqref="J84"/>
    </sheetView>
  </sheetViews>
  <sheetFormatPr defaultRowHeight="16.5" x14ac:dyDescent="0.25"/>
  <cols>
    <col min="1" max="1" width="17.25" bestFit="1" customWidth="1"/>
    <col min="2" max="2" width="14.75" bestFit="1" customWidth="1"/>
    <col min="3" max="3" width="20.625" bestFit="1" customWidth="1"/>
    <col min="4" max="4" width="25.125" bestFit="1" customWidth="1"/>
    <col min="5" max="5" width="28.25" bestFit="1" customWidth="1"/>
    <col min="6" max="6" width="31" bestFit="1" customWidth="1"/>
    <col min="7" max="7" width="24" bestFit="1" customWidth="1"/>
    <col min="8" max="8" width="21" bestFit="1" customWidth="1"/>
    <col min="9" max="9" width="6" bestFit="1" customWidth="1"/>
    <col min="10" max="10" width="26.5" bestFit="1" customWidth="1"/>
    <col min="11" max="11" width="24.875" bestFit="1" customWidth="1"/>
    <col min="12" max="12" width="81" bestFit="1" customWidth="1"/>
    <col min="13" max="13" width="73.625" bestFit="1" customWidth="1"/>
  </cols>
  <sheetData>
    <row r="1" spans="1:15" x14ac:dyDescent="0.25">
      <c r="A1" t="s">
        <v>0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s="6" t="s">
        <v>293</v>
      </c>
      <c r="O1" s="6" t="s">
        <v>299</v>
      </c>
    </row>
    <row r="2" spans="1:15" x14ac:dyDescent="0.25">
      <c r="A2" t="s">
        <v>111</v>
      </c>
      <c r="B2">
        <v>0</v>
      </c>
      <c r="C2">
        <v>72.63</v>
      </c>
      <c r="D2">
        <v>67.78</v>
      </c>
      <c r="E2">
        <v>67.790000000000006</v>
      </c>
      <c r="F2">
        <v>-0.01</v>
      </c>
      <c r="G2">
        <v>0</v>
      </c>
      <c r="H2">
        <v>0</v>
      </c>
      <c r="I2">
        <v>1</v>
      </c>
      <c r="J2" t="s">
        <v>112</v>
      </c>
      <c r="K2">
        <v>0.1</v>
      </c>
      <c r="L2" t="s">
        <v>113</v>
      </c>
      <c r="M2" t="s">
        <v>114</v>
      </c>
      <c r="N2">
        <f>_xlfn.XLOOKUP(A2,idle_time_ratio_summary!A:A,idle_time_ratio_summary!G:G,"")</f>
        <v>0</v>
      </c>
      <c r="O2">
        <f>_xlfn.XLOOKUP(A2,idle_time_ratio_summary!A:A,idle_time_ratio_summary!M:M,"")</f>
        <v>0</v>
      </c>
    </row>
    <row r="3" spans="1:15" x14ac:dyDescent="0.25">
      <c r="A3" t="s">
        <v>115</v>
      </c>
      <c r="B3">
        <v>0</v>
      </c>
      <c r="C3">
        <v>72.63</v>
      </c>
      <c r="D3">
        <v>67.89</v>
      </c>
      <c r="E3">
        <v>67.91</v>
      </c>
      <c r="F3">
        <v>-0.02</v>
      </c>
      <c r="G3">
        <v>0</v>
      </c>
      <c r="H3">
        <v>0</v>
      </c>
      <c r="I3">
        <v>1</v>
      </c>
      <c r="J3" t="s">
        <v>112</v>
      </c>
      <c r="K3">
        <v>0.1</v>
      </c>
      <c r="L3" t="s">
        <v>116</v>
      </c>
      <c r="M3" t="s">
        <v>117</v>
      </c>
      <c r="N3">
        <f>_xlfn.XLOOKUP(A3,idle_time_ratio_summary!A:A,idle_time_ratio_summary!G:G,"")</f>
        <v>0</v>
      </c>
      <c r="O3">
        <f>_xlfn.XLOOKUP(A3,idle_time_ratio_summary!A:A,idle_time_ratio_summary!M:M,"")</f>
        <v>0</v>
      </c>
    </row>
    <row r="4" spans="1:15" x14ac:dyDescent="0.25">
      <c r="A4" t="s">
        <v>118</v>
      </c>
      <c r="B4">
        <v>0</v>
      </c>
      <c r="C4">
        <v>72.63</v>
      </c>
      <c r="D4">
        <v>67.72</v>
      </c>
      <c r="E4">
        <v>67.72</v>
      </c>
      <c r="F4">
        <v>0</v>
      </c>
      <c r="G4">
        <v>0</v>
      </c>
      <c r="H4">
        <v>0</v>
      </c>
      <c r="I4">
        <v>1</v>
      </c>
      <c r="J4" t="s">
        <v>112</v>
      </c>
      <c r="K4">
        <v>0.1</v>
      </c>
      <c r="L4" t="s">
        <v>119</v>
      </c>
      <c r="M4" t="s">
        <v>120</v>
      </c>
      <c r="N4">
        <f>_xlfn.XLOOKUP(A4,idle_time_ratio_summary!A:A,idle_time_ratio_summary!G:G,"")</f>
        <v>0</v>
      </c>
      <c r="O4">
        <f>_xlfn.XLOOKUP(A4,idle_time_ratio_summary!A:A,idle_time_ratio_summary!M:M,"")</f>
        <v>0</v>
      </c>
    </row>
    <row r="5" spans="1:15" x14ac:dyDescent="0.25">
      <c r="A5" t="s">
        <v>121</v>
      </c>
      <c r="B5">
        <v>0</v>
      </c>
      <c r="C5">
        <v>72.63</v>
      </c>
      <c r="D5">
        <v>67.92</v>
      </c>
      <c r="E5">
        <v>67.959999999999994</v>
      </c>
      <c r="F5">
        <v>-0.04</v>
      </c>
      <c r="G5">
        <v>0</v>
      </c>
      <c r="H5">
        <v>0</v>
      </c>
      <c r="I5">
        <v>1</v>
      </c>
      <c r="J5" t="s">
        <v>112</v>
      </c>
      <c r="K5">
        <v>0.1</v>
      </c>
      <c r="L5" t="s">
        <v>122</v>
      </c>
      <c r="M5" t="s">
        <v>123</v>
      </c>
      <c r="N5">
        <f>_xlfn.XLOOKUP(A5,idle_time_ratio_summary!A:A,idle_time_ratio_summary!G:G,"")</f>
        <v>0</v>
      </c>
      <c r="O5">
        <f>_xlfn.XLOOKUP(A5,idle_time_ratio_summary!A:A,idle_time_ratio_summary!M:M,"")</f>
        <v>0</v>
      </c>
    </row>
    <row r="6" spans="1:15" x14ac:dyDescent="0.25">
      <c r="A6" t="s">
        <v>124</v>
      </c>
      <c r="B6">
        <v>0</v>
      </c>
      <c r="C6">
        <v>72.63</v>
      </c>
      <c r="D6">
        <v>68.39</v>
      </c>
      <c r="E6">
        <v>68.42</v>
      </c>
      <c r="F6">
        <v>-0.03</v>
      </c>
      <c r="G6">
        <v>0</v>
      </c>
      <c r="H6">
        <v>0</v>
      </c>
      <c r="I6">
        <v>1</v>
      </c>
      <c r="J6" t="s">
        <v>112</v>
      </c>
      <c r="K6">
        <v>0.1</v>
      </c>
      <c r="L6" t="s">
        <v>125</v>
      </c>
      <c r="M6" t="s">
        <v>126</v>
      </c>
      <c r="N6">
        <f>_xlfn.XLOOKUP(A6,idle_time_ratio_summary!A:A,idle_time_ratio_summary!G:G,"")</f>
        <v>0</v>
      </c>
      <c r="O6">
        <f>_xlfn.XLOOKUP(A6,idle_time_ratio_summary!A:A,idle_time_ratio_summary!M:M,"")</f>
        <v>0</v>
      </c>
    </row>
    <row r="7" spans="1:15" x14ac:dyDescent="0.25">
      <c r="A7" t="s">
        <v>70</v>
      </c>
      <c r="B7">
        <v>1</v>
      </c>
      <c r="C7">
        <v>72.63</v>
      </c>
      <c r="D7">
        <v>67.849999999999994</v>
      </c>
      <c r="E7">
        <v>65.349999999999994</v>
      </c>
      <c r="F7">
        <v>2.5</v>
      </c>
      <c r="G7">
        <v>1</v>
      </c>
      <c r="H7">
        <v>0</v>
      </c>
      <c r="I7">
        <v>0</v>
      </c>
      <c r="J7" t="s">
        <v>127</v>
      </c>
      <c r="K7">
        <v>0</v>
      </c>
      <c r="L7" t="s">
        <v>128</v>
      </c>
      <c r="M7" t="s">
        <v>129</v>
      </c>
      <c r="N7">
        <f>_xlfn.XLOOKUP(A7,idle_time_ratio_summary!A:A,idle_time_ratio_summary!G:G,"")</f>
        <v>1</v>
      </c>
      <c r="O7">
        <f>_xlfn.XLOOKUP(A7,idle_time_ratio_summary!A:A,idle_time_ratio_summary!M:M,"")</f>
        <v>1</v>
      </c>
    </row>
    <row r="8" spans="1:15" x14ac:dyDescent="0.25">
      <c r="A8" t="s">
        <v>71</v>
      </c>
      <c r="B8">
        <v>1</v>
      </c>
      <c r="C8">
        <v>72.63</v>
      </c>
      <c r="D8">
        <v>67.930000000000007</v>
      </c>
      <c r="E8">
        <v>65.52</v>
      </c>
      <c r="F8">
        <v>2.41</v>
      </c>
      <c r="G8">
        <v>1</v>
      </c>
      <c r="H8">
        <v>0</v>
      </c>
      <c r="I8">
        <v>0</v>
      </c>
      <c r="J8" t="s">
        <v>127</v>
      </c>
      <c r="K8">
        <v>0</v>
      </c>
      <c r="L8" t="s">
        <v>130</v>
      </c>
      <c r="M8" t="s">
        <v>131</v>
      </c>
      <c r="N8">
        <f>_xlfn.XLOOKUP(A8,idle_time_ratio_summary!A:A,idle_time_ratio_summary!G:G,"")</f>
        <v>1</v>
      </c>
      <c r="O8">
        <f>_xlfn.XLOOKUP(A8,idle_time_ratio_summary!A:A,idle_time_ratio_summary!M:M,"")</f>
        <v>1</v>
      </c>
    </row>
    <row r="9" spans="1:15" x14ac:dyDescent="0.25">
      <c r="A9" t="s">
        <v>72</v>
      </c>
      <c r="B9">
        <v>1</v>
      </c>
      <c r="C9">
        <v>72.63</v>
      </c>
      <c r="D9">
        <v>67.84</v>
      </c>
      <c r="E9">
        <v>65.87</v>
      </c>
      <c r="F9">
        <v>1.97</v>
      </c>
      <c r="G9">
        <v>1</v>
      </c>
      <c r="H9">
        <v>0</v>
      </c>
      <c r="I9">
        <v>0</v>
      </c>
      <c r="J9" t="s">
        <v>127</v>
      </c>
      <c r="K9">
        <v>0</v>
      </c>
      <c r="L9" t="s">
        <v>132</v>
      </c>
      <c r="M9" t="s">
        <v>133</v>
      </c>
      <c r="N9">
        <f>_xlfn.XLOOKUP(A9,idle_time_ratio_summary!A:A,idle_time_ratio_summary!G:G,"")</f>
        <v>1</v>
      </c>
      <c r="O9">
        <f>_xlfn.XLOOKUP(A9,idle_time_ratio_summary!A:A,idle_time_ratio_summary!M:M,"")</f>
        <v>1</v>
      </c>
    </row>
    <row r="10" spans="1:15" x14ac:dyDescent="0.25">
      <c r="A10" t="s">
        <v>73</v>
      </c>
      <c r="B10">
        <v>1</v>
      </c>
      <c r="C10">
        <v>72.63</v>
      </c>
      <c r="D10">
        <v>67.709999999999994</v>
      </c>
      <c r="E10">
        <v>63.7</v>
      </c>
      <c r="F10">
        <v>4.01</v>
      </c>
      <c r="G10">
        <v>1</v>
      </c>
      <c r="H10">
        <v>0</v>
      </c>
      <c r="I10">
        <v>0</v>
      </c>
      <c r="J10" t="s">
        <v>127</v>
      </c>
      <c r="K10">
        <v>0</v>
      </c>
      <c r="L10" t="s">
        <v>134</v>
      </c>
      <c r="M10" t="s">
        <v>135</v>
      </c>
      <c r="N10">
        <f>_xlfn.XLOOKUP(A10,idle_time_ratio_summary!A:A,idle_time_ratio_summary!G:G,"")</f>
        <v>1</v>
      </c>
      <c r="O10">
        <f>_xlfn.XLOOKUP(A10,idle_time_ratio_summary!A:A,idle_time_ratio_summary!M:M,"")</f>
        <v>1</v>
      </c>
    </row>
    <row r="11" spans="1:15" x14ac:dyDescent="0.25">
      <c r="A11" t="s">
        <v>81</v>
      </c>
      <c r="B11">
        <v>1</v>
      </c>
      <c r="C11">
        <v>72.63</v>
      </c>
      <c r="D11">
        <v>68.34</v>
      </c>
      <c r="E11">
        <v>67.650000000000006</v>
      </c>
      <c r="F11">
        <v>0.69</v>
      </c>
      <c r="G11">
        <v>1</v>
      </c>
      <c r="H11">
        <v>0</v>
      </c>
      <c r="I11">
        <v>0</v>
      </c>
      <c r="J11" t="s">
        <v>127</v>
      </c>
      <c r="K11">
        <v>0</v>
      </c>
      <c r="L11" t="s">
        <v>136</v>
      </c>
      <c r="M11" t="s">
        <v>137</v>
      </c>
      <c r="N11">
        <f>_xlfn.XLOOKUP(A11,idle_time_ratio_summary!A:A,idle_time_ratio_summary!G:G,"")</f>
        <v>0</v>
      </c>
      <c r="O11">
        <f>_xlfn.XLOOKUP(A11,idle_time_ratio_summary!A:A,idle_time_ratio_summary!M:M,"")</f>
        <v>1</v>
      </c>
    </row>
    <row r="12" spans="1:15" x14ac:dyDescent="0.25">
      <c r="A12" t="s">
        <v>86</v>
      </c>
      <c r="B12">
        <v>1</v>
      </c>
      <c r="C12">
        <v>72.63</v>
      </c>
      <c r="D12">
        <v>67.849999999999994</v>
      </c>
      <c r="E12">
        <v>66.56</v>
      </c>
      <c r="F12">
        <v>1.29</v>
      </c>
      <c r="G12">
        <v>1</v>
      </c>
      <c r="H12">
        <v>0</v>
      </c>
      <c r="I12">
        <v>0</v>
      </c>
      <c r="J12" t="s">
        <v>127</v>
      </c>
      <c r="K12">
        <v>0</v>
      </c>
      <c r="L12" t="s">
        <v>138</v>
      </c>
      <c r="M12" t="s">
        <v>139</v>
      </c>
      <c r="N12">
        <f>_xlfn.XLOOKUP(A12,idle_time_ratio_summary!A:A,idle_time_ratio_summary!G:G,"")</f>
        <v>1</v>
      </c>
      <c r="O12">
        <f>_xlfn.XLOOKUP(A12,idle_time_ratio_summary!A:A,idle_time_ratio_summary!M:M,"")</f>
        <v>1</v>
      </c>
    </row>
    <row r="13" spans="1:15" x14ac:dyDescent="0.25">
      <c r="A13" t="s">
        <v>95</v>
      </c>
      <c r="B13">
        <v>1</v>
      </c>
      <c r="C13">
        <v>72.63</v>
      </c>
      <c r="D13">
        <v>68.34</v>
      </c>
      <c r="E13">
        <v>68.64</v>
      </c>
      <c r="F13">
        <v>-0.3</v>
      </c>
      <c r="G13">
        <v>0</v>
      </c>
      <c r="H13">
        <v>1</v>
      </c>
      <c r="I13">
        <v>0</v>
      </c>
      <c r="J13" t="s">
        <v>127</v>
      </c>
      <c r="K13">
        <v>0</v>
      </c>
      <c r="L13" t="s">
        <v>140</v>
      </c>
      <c r="M13" t="s">
        <v>141</v>
      </c>
      <c r="N13">
        <f>_xlfn.XLOOKUP(A13,idle_time_ratio_summary!A:A,idle_time_ratio_summary!G:G,"")</f>
        <v>0</v>
      </c>
      <c r="O13">
        <f>_xlfn.XLOOKUP(A13,idle_time_ratio_summary!A:A,idle_time_ratio_summary!M:M,"")</f>
        <v>0</v>
      </c>
    </row>
    <row r="14" spans="1:15" x14ac:dyDescent="0.25">
      <c r="A14" t="s">
        <v>36</v>
      </c>
      <c r="B14">
        <v>2</v>
      </c>
      <c r="C14">
        <v>72.63</v>
      </c>
      <c r="D14">
        <v>67.89</v>
      </c>
      <c r="E14">
        <v>66.650000000000006</v>
      </c>
      <c r="F14">
        <v>1.24</v>
      </c>
      <c r="G14">
        <v>1</v>
      </c>
      <c r="H14">
        <v>0</v>
      </c>
      <c r="I14">
        <v>0</v>
      </c>
      <c r="J14" t="s">
        <v>127</v>
      </c>
      <c r="K14">
        <v>0</v>
      </c>
      <c r="L14" t="s">
        <v>142</v>
      </c>
      <c r="M14" t="s">
        <v>143</v>
      </c>
      <c r="N14">
        <f>_xlfn.XLOOKUP(A14,idle_time_ratio_summary!A:A,idle_time_ratio_summary!G:G,"")</f>
        <v>1</v>
      </c>
      <c r="O14">
        <f>_xlfn.XLOOKUP(A14,idle_time_ratio_summary!A:A,idle_time_ratio_summary!M:M,"")</f>
        <v>1</v>
      </c>
    </row>
    <row r="15" spans="1:15" x14ac:dyDescent="0.25">
      <c r="A15" t="s">
        <v>55</v>
      </c>
      <c r="B15">
        <v>2</v>
      </c>
      <c r="C15">
        <v>72.63</v>
      </c>
      <c r="D15">
        <v>68.39</v>
      </c>
      <c r="E15">
        <v>68.430000000000007</v>
      </c>
      <c r="F15">
        <v>-0.04</v>
      </c>
      <c r="G15">
        <v>0</v>
      </c>
      <c r="H15">
        <v>1</v>
      </c>
      <c r="I15">
        <v>0</v>
      </c>
      <c r="J15" t="s">
        <v>127</v>
      </c>
      <c r="K15">
        <v>0</v>
      </c>
      <c r="L15" t="s">
        <v>144</v>
      </c>
      <c r="M15" t="s">
        <v>145</v>
      </c>
      <c r="N15">
        <f>_xlfn.XLOOKUP(A15,idle_time_ratio_summary!A:A,idle_time_ratio_summary!G:G,"")</f>
        <v>0</v>
      </c>
      <c r="O15">
        <f>_xlfn.XLOOKUP(A15,idle_time_ratio_summary!A:A,idle_time_ratio_summary!M:M,"")</f>
        <v>0</v>
      </c>
    </row>
    <row r="16" spans="1:15" x14ac:dyDescent="0.25">
      <c r="A16" t="s">
        <v>64</v>
      </c>
      <c r="B16">
        <v>2</v>
      </c>
      <c r="C16">
        <v>72.63</v>
      </c>
      <c r="D16">
        <v>67.81</v>
      </c>
      <c r="E16">
        <v>68.72</v>
      </c>
      <c r="F16">
        <v>-0.91</v>
      </c>
      <c r="G16">
        <v>0</v>
      </c>
      <c r="H16">
        <v>1</v>
      </c>
      <c r="I16">
        <v>0</v>
      </c>
      <c r="J16" t="s">
        <v>127</v>
      </c>
      <c r="K16">
        <v>0</v>
      </c>
      <c r="L16" t="s">
        <v>146</v>
      </c>
      <c r="M16" t="s">
        <v>147</v>
      </c>
      <c r="N16">
        <f>_xlfn.XLOOKUP(A16,idle_time_ratio_summary!A:A,idle_time_ratio_summary!G:G,"")</f>
        <v>0</v>
      </c>
      <c r="O16">
        <f>_xlfn.XLOOKUP(A16,idle_time_ratio_summary!A:A,idle_time_ratio_summary!M:M,"")</f>
        <v>0</v>
      </c>
    </row>
    <row r="17" spans="1:15" x14ac:dyDescent="0.25">
      <c r="A17" t="s">
        <v>67</v>
      </c>
      <c r="B17">
        <v>2</v>
      </c>
      <c r="C17">
        <v>72.63</v>
      </c>
      <c r="D17">
        <v>68.3</v>
      </c>
      <c r="E17">
        <v>69.099999999999994</v>
      </c>
      <c r="F17">
        <v>-0.8</v>
      </c>
      <c r="G17">
        <v>0</v>
      </c>
      <c r="H17">
        <v>1</v>
      </c>
      <c r="I17">
        <v>0</v>
      </c>
      <c r="J17" t="s">
        <v>127</v>
      </c>
      <c r="K17">
        <v>0</v>
      </c>
      <c r="L17" t="s">
        <v>148</v>
      </c>
      <c r="M17" t="s">
        <v>149</v>
      </c>
      <c r="N17">
        <f>_xlfn.XLOOKUP(A17,idle_time_ratio_summary!A:A,idle_time_ratio_summary!G:G,"")</f>
        <v>0</v>
      </c>
      <c r="O17">
        <f>_xlfn.XLOOKUP(A17,idle_time_ratio_summary!A:A,idle_time_ratio_summary!M:M,"")</f>
        <v>0</v>
      </c>
    </row>
    <row r="18" spans="1:15" x14ac:dyDescent="0.25">
      <c r="A18" t="s">
        <v>75</v>
      </c>
      <c r="B18">
        <v>2</v>
      </c>
      <c r="C18">
        <v>72.63</v>
      </c>
      <c r="D18">
        <v>72.999200000000002</v>
      </c>
      <c r="E18">
        <v>69.319999999999993</v>
      </c>
      <c r="F18">
        <v>3.6791999999999998</v>
      </c>
      <c r="G18">
        <v>1</v>
      </c>
      <c r="H18">
        <v>0</v>
      </c>
      <c r="I18">
        <v>0</v>
      </c>
      <c r="J18" t="s">
        <v>127</v>
      </c>
      <c r="K18">
        <v>0</v>
      </c>
      <c r="L18" t="s">
        <v>150</v>
      </c>
      <c r="M18" t="s">
        <v>151</v>
      </c>
      <c r="N18">
        <f>_xlfn.XLOOKUP(A18,idle_time_ratio_summary!A:A,idle_time_ratio_summary!G:G,"")</f>
        <v>0</v>
      </c>
      <c r="O18">
        <f>_xlfn.XLOOKUP(A18,idle_time_ratio_summary!A:A,idle_time_ratio_summary!M:M,"")</f>
        <v>1</v>
      </c>
    </row>
    <row r="19" spans="1:15" x14ac:dyDescent="0.25">
      <c r="A19" t="s">
        <v>80</v>
      </c>
      <c r="B19">
        <v>2</v>
      </c>
      <c r="C19">
        <v>72.63</v>
      </c>
      <c r="D19">
        <v>68.069999999999993</v>
      </c>
      <c r="E19">
        <v>63.33</v>
      </c>
      <c r="F19">
        <v>4.74</v>
      </c>
      <c r="G19">
        <v>1</v>
      </c>
      <c r="H19">
        <v>0</v>
      </c>
      <c r="I19">
        <v>0</v>
      </c>
      <c r="J19" t="s">
        <v>127</v>
      </c>
      <c r="K19">
        <v>0</v>
      </c>
      <c r="L19" t="s">
        <v>152</v>
      </c>
      <c r="M19" t="s">
        <v>153</v>
      </c>
      <c r="N19">
        <f>_xlfn.XLOOKUP(A19,idle_time_ratio_summary!A:A,idle_time_ratio_summary!G:G,"")</f>
        <v>0</v>
      </c>
      <c r="O19">
        <f>_xlfn.XLOOKUP(A19,idle_time_ratio_summary!A:A,idle_time_ratio_summary!M:M,"")</f>
        <v>1</v>
      </c>
    </row>
    <row r="20" spans="1:15" x14ac:dyDescent="0.25">
      <c r="A20" t="s">
        <v>83</v>
      </c>
      <c r="B20">
        <v>2</v>
      </c>
      <c r="C20">
        <v>72.63</v>
      </c>
      <c r="D20">
        <v>71.260000000000005</v>
      </c>
      <c r="E20">
        <v>70.47</v>
      </c>
      <c r="F20">
        <v>0.79</v>
      </c>
      <c r="G20">
        <v>1</v>
      </c>
      <c r="H20">
        <v>0</v>
      </c>
      <c r="I20">
        <v>0</v>
      </c>
      <c r="J20" t="s">
        <v>127</v>
      </c>
      <c r="K20">
        <v>0</v>
      </c>
      <c r="L20" t="s">
        <v>154</v>
      </c>
      <c r="M20" t="s">
        <v>155</v>
      </c>
      <c r="N20">
        <f>_xlfn.XLOOKUP(A20,idle_time_ratio_summary!A:A,idle_time_ratio_summary!G:G,"")</f>
        <v>0</v>
      </c>
      <c r="O20">
        <f>_xlfn.XLOOKUP(A20,idle_time_ratio_summary!A:A,idle_time_ratio_summary!M:M,"")</f>
        <v>0</v>
      </c>
    </row>
    <row r="21" spans="1:15" x14ac:dyDescent="0.25">
      <c r="A21" t="s">
        <v>35</v>
      </c>
      <c r="B21">
        <v>3</v>
      </c>
      <c r="C21">
        <v>72.63</v>
      </c>
      <c r="D21">
        <v>67.98</v>
      </c>
      <c r="E21">
        <v>66.099999999999994</v>
      </c>
      <c r="F21">
        <v>1.88</v>
      </c>
      <c r="G21">
        <v>1</v>
      </c>
      <c r="H21">
        <v>0</v>
      </c>
      <c r="I21">
        <v>0</v>
      </c>
      <c r="J21" t="s">
        <v>127</v>
      </c>
      <c r="K21">
        <v>0</v>
      </c>
      <c r="L21" t="s">
        <v>156</v>
      </c>
      <c r="M21" t="s">
        <v>157</v>
      </c>
      <c r="N21">
        <f>_xlfn.XLOOKUP(A21,idle_time_ratio_summary!A:A,idle_time_ratio_summary!G:G,"")</f>
        <v>1</v>
      </c>
      <c r="O21">
        <f>_xlfn.XLOOKUP(A21,idle_time_ratio_summary!A:A,idle_time_ratio_summary!M:M,"")</f>
        <v>1</v>
      </c>
    </row>
    <row r="22" spans="1:15" x14ac:dyDescent="0.25">
      <c r="A22" t="s">
        <v>45</v>
      </c>
      <c r="B22">
        <v>3</v>
      </c>
      <c r="C22">
        <v>72.63</v>
      </c>
      <c r="D22">
        <v>67.989999999999995</v>
      </c>
      <c r="E22">
        <v>70.45</v>
      </c>
      <c r="F22">
        <v>-2.46</v>
      </c>
      <c r="G22">
        <v>0</v>
      </c>
      <c r="H22">
        <v>1</v>
      </c>
      <c r="I22">
        <v>0</v>
      </c>
      <c r="J22" t="s">
        <v>127</v>
      </c>
      <c r="K22">
        <v>0</v>
      </c>
      <c r="L22" t="s">
        <v>158</v>
      </c>
      <c r="M22" t="s">
        <v>159</v>
      </c>
      <c r="N22">
        <f>_xlfn.XLOOKUP(A22,idle_time_ratio_summary!A:A,idle_time_ratio_summary!G:G,"")</f>
        <v>0</v>
      </c>
      <c r="O22">
        <f>_xlfn.XLOOKUP(A22,idle_time_ratio_summary!A:A,idle_time_ratio_summary!M:M,"")</f>
        <v>0</v>
      </c>
    </row>
    <row r="23" spans="1:15" x14ac:dyDescent="0.25">
      <c r="A23" t="s">
        <v>51</v>
      </c>
      <c r="B23">
        <v>3</v>
      </c>
      <c r="C23">
        <v>72.63</v>
      </c>
      <c r="D23">
        <v>68.09</v>
      </c>
      <c r="E23">
        <v>65.14</v>
      </c>
      <c r="F23">
        <v>2.95</v>
      </c>
      <c r="G23">
        <v>1</v>
      </c>
      <c r="H23">
        <v>0</v>
      </c>
      <c r="I23">
        <v>0</v>
      </c>
      <c r="J23" t="s">
        <v>127</v>
      </c>
      <c r="K23">
        <v>0</v>
      </c>
      <c r="L23" t="s">
        <v>160</v>
      </c>
      <c r="M23" t="s">
        <v>161</v>
      </c>
      <c r="N23">
        <f>_xlfn.XLOOKUP(A23,idle_time_ratio_summary!A:A,idle_time_ratio_summary!G:G,"")</f>
        <v>0</v>
      </c>
      <c r="O23">
        <f>_xlfn.XLOOKUP(A23,idle_time_ratio_summary!A:A,idle_time_ratio_summary!M:M,"")</f>
        <v>1</v>
      </c>
    </row>
    <row r="24" spans="1:15" x14ac:dyDescent="0.25">
      <c r="A24" t="s">
        <v>84</v>
      </c>
      <c r="B24">
        <v>3</v>
      </c>
      <c r="C24">
        <v>72.63</v>
      </c>
      <c r="D24">
        <v>70.959199999999996</v>
      </c>
      <c r="E24">
        <v>65.61</v>
      </c>
      <c r="F24">
        <v>5.3491999999999997</v>
      </c>
      <c r="G24">
        <v>1</v>
      </c>
      <c r="H24">
        <v>0</v>
      </c>
      <c r="I24">
        <v>0</v>
      </c>
      <c r="J24" t="s">
        <v>127</v>
      </c>
      <c r="K24">
        <v>0</v>
      </c>
      <c r="L24" t="s">
        <v>162</v>
      </c>
      <c r="M24" t="s">
        <v>163</v>
      </c>
      <c r="N24">
        <f>_xlfn.XLOOKUP(A24,idle_time_ratio_summary!A:A,idle_time_ratio_summary!G:G,"")</f>
        <v>1</v>
      </c>
      <c r="O24">
        <f>_xlfn.XLOOKUP(A24,idle_time_ratio_summary!A:A,idle_time_ratio_summary!M:M,"")</f>
        <v>1</v>
      </c>
    </row>
    <row r="25" spans="1:15" x14ac:dyDescent="0.25">
      <c r="A25" t="s">
        <v>94</v>
      </c>
      <c r="B25">
        <v>3</v>
      </c>
      <c r="C25">
        <v>72.63</v>
      </c>
      <c r="D25">
        <v>70.31</v>
      </c>
      <c r="E25">
        <v>66.91</v>
      </c>
      <c r="F25">
        <v>3.4</v>
      </c>
      <c r="G25">
        <v>1</v>
      </c>
      <c r="H25">
        <v>0</v>
      </c>
      <c r="I25">
        <v>0</v>
      </c>
      <c r="J25" t="s">
        <v>127</v>
      </c>
      <c r="K25">
        <v>0</v>
      </c>
      <c r="L25" t="s">
        <v>164</v>
      </c>
      <c r="M25" t="s">
        <v>165</v>
      </c>
      <c r="N25">
        <f>_xlfn.XLOOKUP(A25,idle_time_ratio_summary!A:A,idle_time_ratio_summary!G:G,"")</f>
        <v>0</v>
      </c>
      <c r="O25">
        <f>_xlfn.XLOOKUP(A25,idle_time_ratio_summary!A:A,idle_time_ratio_summary!M:M,"")</f>
        <v>1</v>
      </c>
    </row>
    <row r="26" spans="1:15" x14ac:dyDescent="0.25">
      <c r="A26" t="s">
        <v>30</v>
      </c>
      <c r="B26">
        <v>4</v>
      </c>
      <c r="C26">
        <v>72.63</v>
      </c>
      <c r="D26">
        <v>75.593800000000002</v>
      </c>
      <c r="E26">
        <v>75.59</v>
      </c>
      <c r="F26">
        <v>3.8E-3</v>
      </c>
      <c r="G26">
        <v>1</v>
      </c>
      <c r="H26">
        <v>0</v>
      </c>
      <c r="I26">
        <v>0</v>
      </c>
      <c r="J26" t="s">
        <v>127</v>
      </c>
      <c r="K26">
        <v>0</v>
      </c>
      <c r="L26" t="s">
        <v>166</v>
      </c>
      <c r="M26" t="s">
        <v>167</v>
      </c>
      <c r="N26">
        <f>_xlfn.XLOOKUP(A26,idle_time_ratio_summary!A:A,idle_time_ratio_summary!G:G,"")</f>
        <v>0</v>
      </c>
      <c r="O26">
        <f>_xlfn.XLOOKUP(A26,idle_time_ratio_summary!A:A,idle_time_ratio_summary!M:M,"")</f>
        <v>1</v>
      </c>
    </row>
    <row r="27" spans="1:15" x14ac:dyDescent="0.25">
      <c r="A27" t="s">
        <v>34</v>
      </c>
      <c r="B27">
        <v>4</v>
      </c>
      <c r="C27">
        <v>72.63</v>
      </c>
      <c r="D27">
        <v>69.87</v>
      </c>
      <c r="E27">
        <v>68.819999999999993</v>
      </c>
      <c r="F27">
        <v>1.05</v>
      </c>
      <c r="G27">
        <v>1</v>
      </c>
      <c r="H27">
        <v>0</v>
      </c>
      <c r="I27">
        <v>0</v>
      </c>
      <c r="J27" t="s">
        <v>127</v>
      </c>
      <c r="K27">
        <v>0</v>
      </c>
      <c r="L27" t="s">
        <v>168</v>
      </c>
      <c r="M27" t="s">
        <v>169</v>
      </c>
      <c r="N27">
        <f>_xlfn.XLOOKUP(A27,idle_time_ratio_summary!A:A,idle_time_ratio_summary!G:G,"")</f>
        <v>1</v>
      </c>
      <c r="O27">
        <f>_xlfn.XLOOKUP(A27,idle_time_ratio_summary!A:A,idle_time_ratio_summary!M:M,"")</f>
        <v>1</v>
      </c>
    </row>
    <row r="28" spans="1:15" x14ac:dyDescent="0.25">
      <c r="A28" t="s">
        <v>48</v>
      </c>
      <c r="B28">
        <v>4</v>
      </c>
      <c r="C28">
        <v>72.63</v>
      </c>
      <c r="D28">
        <v>75.853800000000007</v>
      </c>
      <c r="E28">
        <v>81.77</v>
      </c>
      <c r="F28">
        <v>-5.9161999999999999</v>
      </c>
      <c r="G28">
        <v>0</v>
      </c>
      <c r="H28">
        <v>1</v>
      </c>
      <c r="I28">
        <v>0</v>
      </c>
      <c r="J28" t="s">
        <v>127</v>
      </c>
      <c r="K28">
        <v>0</v>
      </c>
      <c r="L28" t="s">
        <v>170</v>
      </c>
      <c r="M28" t="s">
        <v>171</v>
      </c>
      <c r="N28">
        <f>_xlfn.XLOOKUP(A28,idle_time_ratio_summary!A:A,idle_time_ratio_summary!G:G,"")</f>
        <v>0</v>
      </c>
      <c r="O28">
        <f>_xlfn.XLOOKUP(A28,idle_time_ratio_summary!A:A,idle_time_ratio_summary!M:M,"")</f>
        <v>1</v>
      </c>
    </row>
    <row r="29" spans="1:15" x14ac:dyDescent="0.25">
      <c r="A29" t="s">
        <v>50</v>
      </c>
      <c r="B29">
        <v>4</v>
      </c>
      <c r="C29">
        <v>72.63</v>
      </c>
      <c r="D29">
        <v>68.040000000000006</v>
      </c>
      <c r="E29">
        <v>66.23</v>
      </c>
      <c r="F29">
        <v>1.81</v>
      </c>
      <c r="G29">
        <v>1</v>
      </c>
      <c r="H29">
        <v>0</v>
      </c>
      <c r="I29">
        <v>0</v>
      </c>
      <c r="J29" t="s">
        <v>127</v>
      </c>
      <c r="K29">
        <v>0</v>
      </c>
      <c r="L29" t="s">
        <v>172</v>
      </c>
      <c r="M29" t="s">
        <v>173</v>
      </c>
      <c r="N29">
        <f>_xlfn.XLOOKUP(A29,idle_time_ratio_summary!A:A,idle_time_ratio_summary!G:G,"")</f>
        <v>1</v>
      </c>
      <c r="O29">
        <f>_xlfn.XLOOKUP(A29,idle_time_ratio_summary!A:A,idle_time_ratio_summary!M:M,"")</f>
        <v>1</v>
      </c>
    </row>
    <row r="30" spans="1:15" x14ac:dyDescent="0.25">
      <c r="A30" t="s">
        <v>65</v>
      </c>
      <c r="B30">
        <v>4</v>
      </c>
      <c r="C30">
        <v>72.63</v>
      </c>
      <c r="D30">
        <v>69.53</v>
      </c>
      <c r="E30">
        <v>72.61</v>
      </c>
      <c r="F30">
        <v>-3.08</v>
      </c>
      <c r="G30">
        <v>0</v>
      </c>
      <c r="H30">
        <v>1</v>
      </c>
      <c r="I30">
        <v>0</v>
      </c>
      <c r="J30" t="s">
        <v>127</v>
      </c>
      <c r="K30">
        <v>0</v>
      </c>
      <c r="L30" t="s">
        <v>174</v>
      </c>
      <c r="M30" t="s">
        <v>175</v>
      </c>
      <c r="N30">
        <f>_xlfn.XLOOKUP(A30,idle_time_ratio_summary!A:A,idle_time_ratio_summary!G:G,"")</f>
        <v>0</v>
      </c>
      <c r="O30">
        <f>_xlfn.XLOOKUP(A30,idle_time_ratio_summary!A:A,idle_time_ratio_summary!M:M,"")</f>
        <v>0</v>
      </c>
    </row>
    <row r="31" spans="1:15" x14ac:dyDescent="0.25">
      <c r="A31" t="s">
        <v>66</v>
      </c>
      <c r="B31">
        <v>4</v>
      </c>
      <c r="C31">
        <v>72.63</v>
      </c>
      <c r="D31">
        <v>85.159199999999998</v>
      </c>
      <c r="E31">
        <v>81.599999999999994</v>
      </c>
      <c r="F31">
        <v>3.5592000000000001</v>
      </c>
      <c r="G31">
        <v>1</v>
      </c>
      <c r="H31">
        <v>0</v>
      </c>
      <c r="I31">
        <v>0</v>
      </c>
      <c r="J31" t="s">
        <v>127</v>
      </c>
      <c r="K31">
        <v>0</v>
      </c>
      <c r="L31" t="s">
        <v>176</v>
      </c>
      <c r="M31" t="s">
        <v>177</v>
      </c>
      <c r="N31">
        <f>_xlfn.XLOOKUP(A31,idle_time_ratio_summary!A:A,idle_time_ratio_summary!G:G,"")</f>
        <v>0</v>
      </c>
      <c r="O31">
        <f>_xlfn.XLOOKUP(A31,idle_time_ratio_summary!A:A,idle_time_ratio_summary!M:M,"")</f>
        <v>1</v>
      </c>
    </row>
    <row r="32" spans="1:15" x14ac:dyDescent="0.25">
      <c r="A32" t="s">
        <v>79</v>
      </c>
      <c r="B32">
        <v>4</v>
      </c>
      <c r="C32">
        <v>72.63</v>
      </c>
      <c r="D32">
        <v>70.4238</v>
      </c>
      <c r="E32">
        <v>66.709999999999994</v>
      </c>
      <c r="F32">
        <v>3.7138</v>
      </c>
      <c r="G32">
        <v>1</v>
      </c>
      <c r="H32">
        <v>0</v>
      </c>
      <c r="I32">
        <v>0</v>
      </c>
      <c r="J32" t="s">
        <v>127</v>
      </c>
      <c r="K32">
        <v>0</v>
      </c>
      <c r="L32" t="s">
        <v>178</v>
      </c>
      <c r="M32" t="s">
        <v>179</v>
      </c>
      <c r="N32">
        <f>_xlfn.XLOOKUP(A32,idle_time_ratio_summary!A:A,idle_time_ratio_summary!G:G,"")</f>
        <v>0</v>
      </c>
      <c r="O32">
        <f>_xlfn.XLOOKUP(A32,idle_time_ratio_summary!A:A,idle_time_ratio_summary!M:M,"")</f>
        <v>1</v>
      </c>
    </row>
    <row r="33" spans="1:15" x14ac:dyDescent="0.25">
      <c r="A33" t="s">
        <v>82</v>
      </c>
      <c r="B33">
        <v>4</v>
      </c>
      <c r="C33">
        <v>72.63</v>
      </c>
      <c r="D33">
        <v>78.407799999999995</v>
      </c>
      <c r="E33">
        <v>78.27</v>
      </c>
      <c r="F33">
        <v>0.13780000000000001</v>
      </c>
      <c r="G33">
        <v>1</v>
      </c>
      <c r="H33">
        <v>0</v>
      </c>
      <c r="I33">
        <v>0</v>
      </c>
      <c r="J33" t="s">
        <v>127</v>
      </c>
      <c r="K33">
        <v>0</v>
      </c>
      <c r="L33" t="s">
        <v>180</v>
      </c>
      <c r="M33" t="s">
        <v>181</v>
      </c>
      <c r="N33">
        <f>_xlfn.XLOOKUP(A33,idle_time_ratio_summary!A:A,idle_time_ratio_summary!G:G,"")</f>
        <v>0</v>
      </c>
      <c r="O33">
        <f>_xlfn.XLOOKUP(A33,idle_time_ratio_summary!A:A,idle_time_ratio_summary!M:M,"")</f>
        <v>1</v>
      </c>
    </row>
    <row r="34" spans="1:15" x14ac:dyDescent="0.25">
      <c r="A34" t="s">
        <v>85</v>
      </c>
      <c r="B34">
        <v>4</v>
      </c>
      <c r="C34">
        <v>72.63</v>
      </c>
      <c r="D34">
        <v>70.069999999999993</v>
      </c>
      <c r="E34">
        <v>70.58</v>
      </c>
      <c r="F34">
        <v>-0.51</v>
      </c>
      <c r="G34">
        <v>0</v>
      </c>
      <c r="H34">
        <v>1</v>
      </c>
      <c r="I34">
        <v>0</v>
      </c>
      <c r="J34" t="s">
        <v>127</v>
      </c>
      <c r="K34">
        <v>0</v>
      </c>
      <c r="L34" t="s">
        <v>182</v>
      </c>
      <c r="M34" t="s">
        <v>183</v>
      </c>
      <c r="N34">
        <f>_xlfn.XLOOKUP(A34,idle_time_ratio_summary!A:A,idle_time_ratio_summary!G:G,"")</f>
        <v>0</v>
      </c>
      <c r="O34">
        <f>_xlfn.XLOOKUP(A34,idle_time_ratio_summary!A:A,idle_time_ratio_summary!M:M,"")</f>
        <v>0</v>
      </c>
    </row>
    <row r="35" spans="1:15" x14ac:dyDescent="0.25">
      <c r="A35" t="s">
        <v>89</v>
      </c>
      <c r="B35">
        <v>4</v>
      </c>
      <c r="C35">
        <v>72.63</v>
      </c>
      <c r="D35">
        <v>77.59</v>
      </c>
      <c r="E35">
        <v>74.040000000000006</v>
      </c>
      <c r="F35">
        <v>3.55</v>
      </c>
      <c r="G35">
        <v>1</v>
      </c>
      <c r="H35">
        <v>0</v>
      </c>
      <c r="I35">
        <v>0</v>
      </c>
      <c r="J35" t="s">
        <v>127</v>
      </c>
      <c r="K35">
        <v>0</v>
      </c>
      <c r="L35" t="s">
        <v>184</v>
      </c>
      <c r="M35" t="s">
        <v>185</v>
      </c>
      <c r="N35">
        <f>_xlfn.XLOOKUP(A35,idle_time_ratio_summary!A:A,idle_time_ratio_summary!G:G,"")</f>
        <v>0</v>
      </c>
      <c r="O35">
        <f>_xlfn.XLOOKUP(A35,idle_time_ratio_summary!A:A,idle_time_ratio_summary!M:M,"")</f>
        <v>1</v>
      </c>
    </row>
    <row r="36" spans="1:15" x14ac:dyDescent="0.25">
      <c r="A36" t="s">
        <v>37</v>
      </c>
      <c r="B36">
        <v>5</v>
      </c>
      <c r="C36">
        <v>72.63</v>
      </c>
      <c r="D36">
        <v>71.284000000000006</v>
      </c>
      <c r="E36">
        <v>69.680000000000007</v>
      </c>
      <c r="F36">
        <v>1.6040000000000001</v>
      </c>
      <c r="G36">
        <v>1</v>
      </c>
      <c r="H36">
        <v>0</v>
      </c>
      <c r="I36">
        <v>0</v>
      </c>
      <c r="J36" t="s">
        <v>127</v>
      </c>
      <c r="K36">
        <v>0</v>
      </c>
      <c r="L36" t="s">
        <v>186</v>
      </c>
      <c r="M36" t="s">
        <v>187</v>
      </c>
      <c r="N36">
        <f>_xlfn.XLOOKUP(A36,idle_time_ratio_summary!A:A,idle_time_ratio_summary!G:G,"")</f>
        <v>0</v>
      </c>
      <c r="O36">
        <f>_xlfn.XLOOKUP(A36,idle_time_ratio_summary!A:A,idle_time_ratio_summary!M:M,"")</f>
        <v>1</v>
      </c>
    </row>
    <row r="37" spans="1:15" x14ac:dyDescent="0.25">
      <c r="A37" t="s">
        <v>57</v>
      </c>
      <c r="B37">
        <v>5</v>
      </c>
      <c r="C37">
        <v>72.63</v>
      </c>
      <c r="D37">
        <v>73.3</v>
      </c>
      <c r="E37">
        <v>76</v>
      </c>
      <c r="F37">
        <v>-2.7</v>
      </c>
      <c r="G37">
        <v>0</v>
      </c>
      <c r="H37">
        <v>1</v>
      </c>
      <c r="I37">
        <v>0</v>
      </c>
      <c r="J37" t="s">
        <v>127</v>
      </c>
      <c r="K37">
        <v>0</v>
      </c>
      <c r="L37" t="s">
        <v>188</v>
      </c>
      <c r="M37" t="s">
        <v>189</v>
      </c>
      <c r="N37">
        <f>_xlfn.XLOOKUP(A37,idle_time_ratio_summary!A:A,idle_time_ratio_summary!G:G,"")</f>
        <v>0</v>
      </c>
      <c r="O37">
        <f>_xlfn.XLOOKUP(A37,idle_time_ratio_summary!A:A,idle_time_ratio_summary!M:M,"")</f>
        <v>0</v>
      </c>
    </row>
    <row r="38" spans="1:15" x14ac:dyDescent="0.25">
      <c r="A38" t="s">
        <v>68</v>
      </c>
      <c r="B38">
        <v>5</v>
      </c>
      <c r="C38">
        <v>72.63</v>
      </c>
      <c r="D38">
        <v>86.944000000000003</v>
      </c>
      <c r="E38">
        <v>81.430000000000007</v>
      </c>
      <c r="F38">
        <v>5.5140000000000002</v>
      </c>
      <c r="G38">
        <v>1</v>
      </c>
      <c r="H38">
        <v>0</v>
      </c>
      <c r="I38">
        <v>0</v>
      </c>
      <c r="J38" t="s">
        <v>127</v>
      </c>
      <c r="K38">
        <v>0</v>
      </c>
      <c r="L38" t="s">
        <v>190</v>
      </c>
      <c r="M38" t="s">
        <v>191</v>
      </c>
      <c r="N38">
        <f>_xlfn.XLOOKUP(A38,idle_time_ratio_summary!A:A,idle_time_ratio_summary!G:G,"")</f>
        <v>1</v>
      </c>
      <c r="O38">
        <f>_xlfn.XLOOKUP(A38,idle_time_ratio_summary!A:A,idle_time_ratio_summary!M:M,"")</f>
        <v>1</v>
      </c>
    </row>
    <row r="39" spans="1:15" x14ac:dyDescent="0.25">
      <c r="A39" t="s">
        <v>78</v>
      </c>
      <c r="B39">
        <v>5</v>
      </c>
      <c r="C39">
        <v>72.63</v>
      </c>
      <c r="D39">
        <v>81.637799999999999</v>
      </c>
      <c r="E39">
        <v>80.650000000000006</v>
      </c>
      <c r="F39">
        <v>0.98780000000000001</v>
      </c>
      <c r="G39">
        <v>1</v>
      </c>
      <c r="H39">
        <v>0</v>
      </c>
      <c r="I39">
        <v>0</v>
      </c>
      <c r="J39" t="s">
        <v>127</v>
      </c>
      <c r="K39">
        <v>0</v>
      </c>
      <c r="L39" t="s">
        <v>192</v>
      </c>
      <c r="M39" t="s">
        <v>193</v>
      </c>
      <c r="N39">
        <f>_xlfn.XLOOKUP(A39,idle_time_ratio_summary!A:A,idle_time_ratio_summary!G:G,"")</f>
        <v>0</v>
      </c>
      <c r="O39">
        <f>_xlfn.XLOOKUP(A39,idle_time_ratio_summary!A:A,idle_time_ratio_summary!M:M,"")</f>
        <v>1</v>
      </c>
    </row>
    <row r="40" spans="1:15" x14ac:dyDescent="0.25">
      <c r="A40" t="s">
        <v>92</v>
      </c>
      <c r="B40">
        <v>5</v>
      </c>
      <c r="C40">
        <v>72.63</v>
      </c>
      <c r="D40">
        <v>72.430000000000007</v>
      </c>
      <c r="E40">
        <v>75.400000000000006</v>
      </c>
      <c r="F40">
        <v>-2.97</v>
      </c>
      <c r="G40">
        <v>0</v>
      </c>
      <c r="H40">
        <v>1</v>
      </c>
      <c r="I40">
        <v>0</v>
      </c>
      <c r="J40" t="s">
        <v>127</v>
      </c>
      <c r="K40">
        <v>0</v>
      </c>
      <c r="L40" t="s">
        <v>194</v>
      </c>
      <c r="M40" t="s">
        <v>195</v>
      </c>
      <c r="N40">
        <f>_xlfn.XLOOKUP(A40,idle_time_ratio_summary!A:A,idle_time_ratio_summary!G:G,"")</f>
        <v>0</v>
      </c>
      <c r="O40">
        <f>_xlfn.XLOOKUP(A40,idle_time_ratio_summary!A:A,idle_time_ratio_summary!M:M,"")</f>
        <v>0</v>
      </c>
    </row>
    <row r="41" spans="1:15" x14ac:dyDescent="0.25">
      <c r="A41" t="s">
        <v>93</v>
      </c>
      <c r="B41">
        <v>6</v>
      </c>
      <c r="C41">
        <v>72.63</v>
      </c>
      <c r="D41">
        <v>70.16</v>
      </c>
      <c r="E41">
        <v>71.03</v>
      </c>
      <c r="F41">
        <v>-0.87</v>
      </c>
      <c r="G41">
        <v>0</v>
      </c>
      <c r="H41">
        <v>1</v>
      </c>
      <c r="I41">
        <v>0</v>
      </c>
      <c r="J41" t="s">
        <v>127</v>
      </c>
      <c r="K41">
        <v>0</v>
      </c>
      <c r="L41" t="s">
        <v>196</v>
      </c>
      <c r="M41" t="s">
        <v>197</v>
      </c>
      <c r="N41">
        <f>_xlfn.XLOOKUP(A41,idle_time_ratio_summary!A:A,idle_time_ratio_summary!G:G,"")</f>
        <v>0</v>
      </c>
      <c r="O41">
        <f>_xlfn.XLOOKUP(A41,idle_time_ratio_summary!A:A,idle_time_ratio_summary!M:M,"")</f>
        <v>0</v>
      </c>
    </row>
    <row r="42" spans="1:15" x14ac:dyDescent="0.25">
      <c r="A42" t="s">
        <v>96</v>
      </c>
      <c r="B42">
        <v>6</v>
      </c>
      <c r="C42">
        <v>72.63</v>
      </c>
      <c r="D42">
        <v>82.399199999999993</v>
      </c>
      <c r="E42">
        <v>82.38</v>
      </c>
      <c r="F42">
        <v>1.9199999999999998E-2</v>
      </c>
      <c r="G42">
        <v>1</v>
      </c>
      <c r="H42">
        <v>0</v>
      </c>
      <c r="I42">
        <v>0</v>
      </c>
      <c r="J42" t="s">
        <v>127</v>
      </c>
      <c r="K42">
        <v>0</v>
      </c>
      <c r="L42" t="s">
        <v>198</v>
      </c>
      <c r="M42" t="s">
        <v>199</v>
      </c>
      <c r="N42">
        <f>_xlfn.XLOOKUP(A42,idle_time_ratio_summary!A:A,idle_time_ratio_summary!G:G,"")</f>
        <v>0</v>
      </c>
      <c r="O42">
        <f>_xlfn.XLOOKUP(A42,idle_time_ratio_summary!A:A,idle_time_ratio_summary!M:M,"")</f>
        <v>1</v>
      </c>
    </row>
    <row r="43" spans="1:15" x14ac:dyDescent="0.25">
      <c r="A43" t="s">
        <v>97</v>
      </c>
      <c r="B43">
        <v>6</v>
      </c>
      <c r="C43">
        <v>72.63</v>
      </c>
      <c r="D43">
        <v>76.403999999999996</v>
      </c>
      <c r="E43">
        <v>79.33</v>
      </c>
      <c r="F43">
        <v>-2.9260000000000002</v>
      </c>
      <c r="G43">
        <v>0</v>
      </c>
      <c r="H43">
        <v>1</v>
      </c>
      <c r="I43">
        <v>0</v>
      </c>
      <c r="J43" t="s">
        <v>127</v>
      </c>
      <c r="K43">
        <v>0</v>
      </c>
      <c r="L43" t="s">
        <v>200</v>
      </c>
      <c r="M43" t="s">
        <v>201</v>
      </c>
      <c r="N43">
        <f>_xlfn.XLOOKUP(A43,idle_time_ratio_summary!A:A,idle_time_ratio_summary!G:G,"")</f>
        <v>0</v>
      </c>
      <c r="O43">
        <f>_xlfn.XLOOKUP(A43,idle_time_ratio_summary!A:A,idle_time_ratio_summary!M:M,"")</f>
        <v>1</v>
      </c>
    </row>
    <row r="44" spans="1:15" x14ac:dyDescent="0.25">
      <c r="A44" t="s">
        <v>33</v>
      </c>
      <c r="B44">
        <v>7</v>
      </c>
      <c r="C44">
        <v>72.63</v>
      </c>
      <c r="D44">
        <v>79.287800000000004</v>
      </c>
      <c r="E44">
        <v>86.08</v>
      </c>
      <c r="F44">
        <v>-6.7922000000000002</v>
      </c>
      <c r="G44">
        <v>0</v>
      </c>
      <c r="H44">
        <v>1</v>
      </c>
      <c r="I44">
        <v>0</v>
      </c>
      <c r="J44" t="s">
        <v>127</v>
      </c>
      <c r="K44">
        <v>0</v>
      </c>
      <c r="L44" t="s">
        <v>202</v>
      </c>
      <c r="M44" t="s">
        <v>203</v>
      </c>
      <c r="N44">
        <f>_xlfn.XLOOKUP(A44,idle_time_ratio_summary!A:A,idle_time_ratio_summary!G:G,"")</f>
        <v>0</v>
      </c>
      <c r="O44">
        <f>_xlfn.XLOOKUP(A44,idle_time_ratio_summary!A:A,idle_time_ratio_summary!M:M,"")</f>
        <v>1</v>
      </c>
    </row>
    <row r="45" spans="1:15" x14ac:dyDescent="0.25">
      <c r="A45" t="s">
        <v>46</v>
      </c>
      <c r="B45">
        <v>7</v>
      </c>
      <c r="C45">
        <v>72.63</v>
      </c>
      <c r="D45">
        <v>81.453800000000001</v>
      </c>
      <c r="E45">
        <v>84.47</v>
      </c>
      <c r="F45">
        <v>-3.0162</v>
      </c>
      <c r="G45">
        <v>0</v>
      </c>
      <c r="H45">
        <v>1</v>
      </c>
      <c r="I45">
        <v>0</v>
      </c>
      <c r="J45" t="s">
        <v>127</v>
      </c>
      <c r="K45">
        <v>0</v>
      </c>
      <c r="L45" t="s">
        <v>204</v>
      </c>
      <c r="M45" t="s">
        <v>205</v>
      </c>
      <c r="N45">
        <f>_xlfn.XLOOKUP(A45,idle_time_ratio_summary!A:A,idle_time_ratio_summary!G:G,"")</f>
        <v>0</v>
      </c>
      <c r="O45">
        <f>_xlfn.XLOOKUP(A45,idle_time_ratio_summary!A:A,idle_time_ratio_summary!M:M,"")</f>
        <v>1</v>
      </c>
    </row>
    <row r="46" spans="1:15" x14ac:dyDescent="0.25">
      <c r="A46" t="s">
        <v>52</v>
      </c>
      <c r="B46">
        <v>7</v>
      </c>
      <c r="C46">
        <v>72.63</v>
      </c>
      <c r="D46">
        <v>76.757999999999996</v>
      </c>
      <c r="E46">
        <v>68.53</v>
      </c>
      <c r="F46">
        <v>8.2279999999999998</v>
      </c>
      <c r="G46">
        <v>1</v>
      </c>
      <c r="H46">
        <v>0</v>
      </c>
      <c r="I46">
        <v>0</v>
      </c>
      <c r="J46" t="s">
        <v>127</v>
      </c>
      <c r="K46">
        <v>0</v>
      </c>
      <c r="L46" t="s">
        <v>206</v>
      </c>
      <c r="M46" t="s">
        <v>207</v>
      </c>
      <c r="N46">
        <f>_xlfn.XLOOKUP(A46,idle_time_ratio_summary!A:A,idle_time_ratio_summary!G:G,"")</f>
        <v>0</v>
      </c>
      <c r="O46">
        <f>_xlfn.XLOOKUP(A46,idle_time_ratio_summary!A:A,idle_time_ratio_summary!M:M,"")</f>
        <v>1</v>
      </c>
    </row>
    <row r="47" spans="1:15" x14ac:dyDescent="0.25">
      <c r="A47" t="s">
        <v>53</v>
      </c>
      <c r="B47">
        <v>7</v>
      </c>
      <c r="C47">
        <v>72.63</v>
      </c>
      <c r="D47">
        <v>91.724000000000004</v>
      </c>
      <c r="E47">
        <v>88.36</v>
      </c>
      <c r="F47">
        <v>3.3639999999999999</v>
      </c>
      <c r="G47">
        <v>1</v>
      </c>
      <c r="H47">
        <v>0</v>
      </c>
      <c r="I47">
        <v>0</v>
      </c>
      <c r="J47" t="s">
        <v>127</v>
      </c>
      <c r="K47">
        <v>0</v>
      </c>
      <c r="L47" t="s">
        <v>208</v>
      </c>
      <c r="M47" t="s">
        <v>209</v>
      </c>
      <c r="N47">
        <f>_xlfn.XLOOKUP(A47,idle_time_ratio_summary!A:A,idle_time_ratio_summary!G:G,"")</f>
        <v>0</v>
      </c>
      <c r="O47">
        <f>_xlfn.XLOOKUP(A47,idle_time_ratio_summary!A:A,idle_time_ratio_summary!M:M,"")</f>
        <v>1</v>
      </c>
    </row>
    <row r="48" spans="1:15" x14ac:dyDescent="0.25">
      <c r="A48" t="s">
        <v>59</v>
      </c>
      <c r="B48">
        <v>7</v>
      </c>
      <c r="C48">
        <v>72.63</v>
      </c>
      <c r="D48">
        <v>81.837800000000001</v>
      </c>
      <c r="E48">
        <v>79.75</v>
      </c>
      <c r="F48">
        <v>2.0878000000000001</v>
      </c>
      <c r="G48">
        <v>1</v>
      </c>
      <c r="H48">
        <v>0</v>
      </c>
      <c r="I48">
        <v>0</v>
      </c>
      <c r="J48" t="s">
        <v>127</v>
      </c>
      <c r="K48">
        <v>0</v>
      </c>
      <c r="L48" t="s">
        <v>210</v>
      </c>
      <c r="M48" t="s">
        <v>211</v>
      </c>
      <c r="N48">
        <f>_xlfn.XLOOKUP(A48,idle_time_ratio_summary!A:A,idle_time_ratio_summary!G:G,"")</f>
        <v>0</v>
      </c>
      <c r="O48">
        <f>_xlfn.XLOOKUP(A48,idle_time_ratio_summary!A:A,idle_time_ratio_summary!M:M,"")</f>
        <v>1</v>
      </c>
    </row>
    <row r="49" spans="1:15" x14ac:dyDescent="0.25">
      <c r="A49" t="s">
        <v>63</v>
      </c>
      <c r="B49">
        <v>7</v>
      </c>
      <c r="C49">
        <v>72.63</v>
      </c>
      <c r="D49">
        <v>82.913799999999995</v>
      </c>
      <c r="E49">
        <v>81.599999999999994</v>
      </c>
      <c r="F49">
        <v>1.3138000000000001</v>
      </c>
      <c r="G49">
        <v>1</v>
      </c>
      <c r="H49">
        <v>0</v>
      </c>
      <c r="I49">
        <v>0</v>
      </c>
      <c r="J49" t="s">
        <v>127</v>
      </c>
      <c r="K49">
        <v>0</v>
      </c>
      <c r="L49" t="s">
        <v>212</v>
      </c>
      <c r="M49" t="s">
        <v>213</v>
      </c>
      <c r="N49">
        <f>_xlfn.XLOOKUP(A49,idle_time_ratio_summary!A:A,idle_time_ratio_summary!G:G,"")</f>
        <v>0</v>
      </c>
      <c r="O49">
        <f>_xlfn.XLOOKUP(A49,idle_time_ratio_summary!A:A,idle_time_ratio_summary!M:M,"")</f>
        <v>1</v>
      </c>
    </row>
    <row r="50" spans="1:15" x14ac:dyDescent="0.25">
      <c r="A50" t="s">
        <v>74</v>
      </c>
      <c r="B50">
        <v>7</v>
      </c>
      <c r="C50">
        <v>72.63</v>
      </c>
      <c r="D50">
        <v>73.947800000000001</v>
      </c>
      <c r="E50">
        <v>67.599999999999994</v>
      </c>
      <c r="F50">
        <v>6.3478000000000003</v>
      </c>
      <c r="G50">
        <v>1</v>
      </c>
      <c r="H50">
        <v>0</v>
      </c>
      <c r="I50">
        <v>0</v>
      </c>
      <c r="J50" t="s">
        <v>127</v>
      </c>
      <c r="K50">
        <v>0</v>
      </c>
      <c r="L50" t="s">
        <v>214</v>
      </c>
      <c r="M50" t="s">
        <v>215</v>
      </c>
      <c r="N50">
        <f>_xlfn.XLOOKUP(A50,idle_time_ratio_summary!A:A,idle_time_ratio_summary!G:G,"")</f>
        <v>0</v>
      </c>
      <c r="O50">
        <f>_xlfn.XLOOKUP(A50,idle_time_ratio_summary!A:A,idle_time_ratio_summary!M:M,"")</f>
        <v>1</v>
      </c>
    </row>
    <row r="51" spans="1:15" x14ac:dyDescent="0.25">
      <c r="A51" t="s">
        <v>87</v>
      </c>
      <c r="B51">
        <v>7</v>
      </c>
      <c r="C51">
        <v>72.63</v>
      </c>
      <c r="D51">
        <v>71.930000000000007</v>
      </c>
      <c r="E51">
        <v>72.59</v>
      </c>
      <c r="F51">
        <v>-0.66</v>
      </c>
      <c r="G51">
        <v>0</v>
      </c>
      <c r="H51">
        <v>1</v>
      </c>
      <c r="I51">
        <v>0</v>
      </c>
      <c r="J51" t="s">
        <v>127</v>
      </c>
      <c r="K51">
        <v>0</v>
      </c>
      <c r="L51" t="s">
        <v>216</v>
      </c>
      <c r="M51" t="s">
        <v>217</v>
      </c>
      <c r="N51">
        <f>_xlfn.XLOOKUP(A51,idle_time_ratio_summary!A:A,idle_time_ratio_summary!G:G,"")</f>
        <v>0</v>
      </c>
      <c r="O51">
        <f>_xlfn.XLOOKUP(A51,idle_time_ratio_summary!A:A,idle_time_ratio_summary!M:M,"")</f>
        <v>0</v>
      </c>
    </row>
    <row r="52" spans="1:15" x14ac:dyDescent="0.25">
      <c r="A52" t="s">
        <v>88</v>
      </c>
      <c r="B52">
        <v>7</v>
      </c>
      <c r="C52">
        <v>72.63</v>
      </c>
      <c r="D52">
        <v>80.777799999999999</v>
      </c>
      <c r="E52">
        <v>81.42</v>
      </c>
      <c r="F52">
        <v>-0.64219999999999999</v>
      </c>
      <c r="G52">
        <v>0</v>
      </c>
      <c r="H52">
        <v>1</v>
      </c>
      <c r="I52">
        <v>0</v>
      </c>
      <c r="J52" t="s">
        <v>127</v>
      </c>
      <c r="K52">
        <v>0</v>
      </c>
      <c r="L52" t="s">
        <v>218</v>
      </c>
      <c r="M52" t="s">
        <v>219</v>
      </c>
      <c r="N52">
        <f>_xlfn.XLOOKUP(A52,idle_time_ratio_summary!A:A,idle_time_ratio_summary!G:G,"")</f>
        <v>0</v>
      </c>
      <c r="O52">
        <f>_xlfn.XLOOKUP(A52,idle_time_ratio_summary!A:A,idle_time_ratio_summary!M:M,"")</f>
        <v>1</v>
      </c>
    </row>
    <row r="53" spans="1:15" x14ac:dyDescent="0.25">
      <c r="A53" t="s">
        <v>42</v>
      </c>
      <c r="B53">
        <v>8</v>
      </c>
      <c r="C53">
        <v>72.63</v>
      </c>
      <c r="D53">
        <v>82.843800000000002</v>
      </c>
      <c r="E53">
        <v>86.18</v>
      </c>
      <c r="F53">
        <v>-3.3361999999999998</v>
      </c>
      <c r="G53">
        <v>0</v>
      </c>
      <c r="H53">
        <v>1</v>
      </c>
      <c r="I53">
        <v>0</v>
      </c>
      <c r="J53" t="s">
        <v>127</v>
      </c>
      <c r="K53">
        <v>0</v>
      </c>
      <c r="L53" t="s">
        <v>220</v>
      </c>
      <c r="M53" t="s">
        <v>221</v>
      </c>
      <c r="N53">
        <f>_xlfn.XLOOKUP(A53,idle_time_ratio_summary!A:A,idle_time_ratio_summary!G:G,"")</f>
        <v>0</v>
      </c>
      <c r="O53">
        <f>_xlfn.XLOOKUP(A53,idle_time_ratio_summary!A:A,idle_time_ratio_summary!M:M,"")</f>
        <v>1</v>
      </c>
    </row>
    <row r="54" spans="1:15" x14ac:dyDescent="0.25">
      <c r="A54" t="s">
        <v>49</v>
      </c>
      <c r="B54">
        <v>8</v>
      </c>
      <c r="C54">
        <v>72.63</v>
      </c>
      <c r="D54">
        <v>74.343999999999994</v>
      </c>
      <c r="E54">
        <v>72.09</v>
      </c>
      <c r="F54">
        <v>2.254</v>
      </c>
      <c r="G54">
        <v>1</v>
      </c>
      <c r="H54">
        <v>0</v>
      </c>
      <c r="I54">
        <v>0</v>
      </c>
      <c r="J54" t="s">
        <v>127</v>
      </c>
      <c r="K54">
        <v>0</v>
      </c>
      <c r="L54" t="s">
        <v>222</v>
      </c>
      <c r="M54" t="s">
        <v>223</v>
      </c>
      <c r="N54">
        <f>_xlfn.XLOOKUP(A54,idle_time_ratio_summary!A:A,idle_time_ratio_summary!G:G,"")</f>
        <v>0</v>
      </c>
      <c r="O54">
        <f>_xlfn.XLOOKUP(A54,idle_time_ratio_summary!A:A,idle_time_ratio_summary!M:M,"")</f>
        <v>1</v>
      </c>
    </row>
    <row r="55" spans="1:15" x14ac:dyDescent="0.25">
      <c r="A55" t="s">
        <v>69</v>
      </c>
      <c r="B55">
        <v>8</v>
      </c>
      <c r="C55">
        <v>72.63</v>
      </c>
      <c r="D55">
        <v>87.097800000000007</v>
      </c>
      <c r="E55">
        <v>84.13</v>
      </c>
      <c r="F55">
        <v>2.9678</v>
      </c>
      <c r="G55">
        <v>1</v>
      </c>
      <c r="H55">
        <v>0</v>
      </c>
      <c r="I55">
        <v>0</v>
      </c>
      <c r="J55" t="s">
        <v>127</v>
      </c>
      <c r="K55">
        <v>0</v>
      </c>
      <c r="L55" t="s">
        <v>224</v>
      </c>
      <c r="M55" t="s">
        <v>225</v>
      </c>
      <c r="N55">
        <f>_xlfn.XLOOKUP(A55,idle_time_ratio_summary!A:A,idle_time_ratio_summary!G:G,"")</f>
        <v>0</v>
      </c>
      <c r="O55">
        <f>_xlfn.XLOOKUP(A55,idle_time_ratio_summary!A:A,idle_time_ratio_summary!M:M,"")</f>
        <v>1</v>
      </c>
    </row>
    <row r="56" spans="1:15" x14ac:dyDescent="0.25">
      <c r="A56" t="s">
        <v>91</v>
      </c>
      <c r="B56">
        <v>8</v>
      </c>
      <c r="C56">
        <v>72.63</v>
      </c>
      <c r="D56">
        <v>93.47</v>
      </c>
      <c r="E56">
        <v>96.74</v>
      </c>
      <c r="F56">
        <v>-3.27</v>
      </c>
      <c r="G56">
        <v>0</v>
      </c>
      <c r="H56">
        <v>1</v>
      </c>
      <c r="I56">
        <v>0</v>
      </c>
      <c r="J56" t="s">
        <v>127</v>
      </c>
      <c r="K56">
        <v>0</v>
      </c>
      <c r="L56" t="s">
        <v>226</v>
      </c>
      <c r="M56" t="s">
        <v>227</v>
      </c>
      <c r="N56">
        <f>_xlfn.XLOOKUP(A56,idle_time_ratio_summary!A:A,idle_time_ratio_summary!G:G,"")</f>
        <v>0</v>
      </c>
      <c r="O56">
        <f>_xlfn.XLOOKUP(A56,idle_time_ratio_summary!A:A,idle_time_ratio_summary!M:M,"")</f>
        <v>1</v>
      </c>
    </row>
    <row r="57" spans="1:15" x14ac:dyDescent="0.25">
      <c r="A57" t="s">
        <v>23</v>
      </c>
      <c r="B57">
        <v>9</v>
      </c>
      <c r="C57">
        <v>72.63</v>
      </c>
      <c r="D57">
        <v>80.483999999999995</v>
      </c>
      <c r="E57">
        <v>73.739999999999995</v>
      </c>
      <c r="F57">
        <v>6.7439999999999998</v>
      </c>
      <c r="G57">
        <v>1</v>
      </c>
      <c r="H57">
        <v>0</v>
      </c>
      <c r="I57">
        <v>0</v>
      </c>
      <c r="J57" t="s">
        <v>127</v>
      </c>
      <c r="K57">
        <v>0</v>
      </c>
      <c r="L57" t="s">
        <v>228</v>
      </c>
      <c r="M57" t="s">
        <v>229</v>
      </c>
      <c r="N57">
        <f>_xlfn.XLOOKUP(A57,idle_time_ratio_summary!A:A,idle_time_ratio_summary!G:G,"")</f>
        <v>0</v>
      </c>
      <c r="O57">
        <f>_xlfn.XLOOKUP(A57,idle_time_ratio_summary!A:A,idle_time_ratio_summary!M:M,"")</f>
        <v>1</v>
      </c>
    </row>
    <row r="58" spans="1:15" x14ac:dyDescent="0.25">
      <c r="A58" t="s">
        <v>58</v>
      </c>
      <c r="B58">
        <v>9</v>
      </c>
      <c r="C58">
        <v>72.63</v>
      </c>
      <c r="D58">
        <v>89.547799999999995</v>
      </c>
      <c r="E58">
        <v>90.7</v>
      </c>
      <c r="F58">
        <v>-1.1521999999999999</v>
      </c>
      <c r="G58">
        <v>0</v>
      </c>
      <c r="H58">
        <v>1</v>
      </c>
      <c r="I58">
        <v>0</v>
      </c>
      <c r="J58" t="s">
        <v>127</v>
      </c>
      <c r="K58">
        <v>0</v>
      </c>
      <c r="L58" t="s">
        <v>230</v>
      </c>
      <c r="M58" t="s">
        <v>231</v>
      </c>
      <c r="N58">
        <f>_xlfn.XLOOKUP(A58,idle_time_ratio_summary!A:A,idle_time_ratio_summary!G:G,"")</f>
        <v>0</v>
      </c>
      <c r="O58">
        <f>_xlfn.XLOOKUP(A58,idle_time_ratio_summary!A:A,idle_time_ratio_summary!M:M,"")</f>
        <v>1</v>
      </c>
    </row>
    <row r="59" spans="1:15" x14ac:dyDescent="0.25">
      <c r="A59" t="s">
        <v>28</v>
      </c>
      <c r="B59">
        <v>10</v>
      </c>
      <c r="C59">
        <v>72.63</v>
      </c>
      <c r="D59">
        <v>80.263800000000003</v>
      </c>
      <c r="E59">
        <v>74.180000000000007</v>
      </c>
      <c r="F59">
        <v>6.0838000000000001</v>
      </c>
      <c r="G59">
        <v>1</v>
      </c>
      <c r="H59">
        <v>0</v>
      </c>
      <c r="I59">
        <v>0</v>
      </c>
      <c r="J59" t="s">
        <v>127</v>
      </c>
      <c r="K59">
        <v>0</v>
      </c>
      <c r="L59" t="s">
        <v>232</v>
      </c>
      <c r="M59" t="s">
        <v>233</v>
      </c>
      <c r="N59">
        <f>_xlfn.XLOOKUP(A59,idle_time_ratio_summary!A:A,idle_time_ratio_summary!G:G,"")</f>
        <v>0</v>
      </c>
      <c r="O59">
        <f>_xlfn.XLOOKUP(A59,idle_time_ratio_summary!A:A,idle_time_ratio_summary!M:M,"")</f>
        <v>1</v>
      </c>
    </row>
    <row r="60" spans="1:15" x14ac:dyDescent="0.25">
      <c r="A60" t="s">
        <v>32</v>
      </c>
      <c r="B60">
        <v>10</v>
      </c>
      <c r="C60">
        <v>72.63</v>
      </c>
      <c r="D60">
        <v>84.313800000000001</v>
      </c>
      <c r="E60">
        <v>84.27</v>
      </c>
      <c r="F60">
        <v>4.3799999999999999E-2</v>
      </c>
      <c r="G60">
        <v>1</v>
      </c>
      <c r="H60">
        <v>0</v>
      </c>
      <c r="I60">
        <v>0</v>
      </c>
      <c r="J60" t="s">
        <v>127</v>
      </c>
      <c r="K60">
        <v>0</v>
      </c>
      <c r="L60" t="s">
        <v>234</v>
      </c>
      <c r="M60" t="s">
        <v>235</v>
      </c>
      <c r="N60">
        <f>_xlfn.XLOOKUP(A60,idle_time_ratio_summary!A:A,idle_time_ratio_summary!G:G,"")</f>
        <v>0</v>
      </c>
      <c r="O60">
        <f>_xlfn.XLOOKUP(A60,idle_time_ratio_summary!A:A,idle_time_ratio_summary!M:M,"")</f>
        <v>1</v>
      </c>
    </row>
    <row r="61" spans="1:15" x14ac:dyDescent="0.25">
      <c r="A61" t="s">
        <v>41</v>
      </c>
      <c r="B61">
        <v>10</v>
      </c>
      <c r="C61">
        <v>72.63</v>
      </c>
      <c r="D61">
        <v>85.989199999999997</v>
      </c>
      <c r="E61">
        <v>85.88</v>
      </c>
      <c r="F61">
        <v>0.10920000000000001</v>
      </c>
      <c r="G61">
        <v>1</v>
      </c>
      <c r="H61">
        <v>0</v>
      </c>
      <c r="I61">
        <v>0</v>
      </c>
      <c r="J61" t="s">
        <v>127</v>
      </c>
      <c r="K61">
        <v>0</v>
      </c>
      <c r="L61" t="s">
        <v>236</v>
      </c>
      <c r="M61" t="s">
        <v>237</v>
      </c>
      <c r="N61">
        <f>_xlfn.XLOOKUP(A61,idle_time_ratio_summary!A:A,idle_time_ratio_summary!G:G,"")</f>
        <v>0</v>
      </c>
      <c r="O61">
        <f>_xlfn.XLOOKUP(A61,idle_time_ratio_summary!A:A,idle_time_ratio_summary!M:M,"")</f>
        <v>1</v>
      </c>
    </row>
    <row r="62" spans="1:15" x14ac:dyDescent="0.25">
      <c r="A62" t="s">
        <v>76</v>
      </c>
      <c r="B62">
        <v>10</v>
      </c>
      <c r="C62">
        <v>72.63</v>
      </c>
      <c r="D62">
        <v>78.45</v>
      </c>
      <c r="E62">
        <v>79.2</v>
      </c>
      <c r="F62">
        <v>-0.75</v>
      </c>
      <c r="G62">
        <v>0</v>
      </c>
      <c r="H62">
        <v>1</v>
      </c>
      <c r="I62">
        <v>0</v>
      </c>
      <c r="J62" t="s">
        <v>127</v>
      </c>
      <c r="K62">
        <v>0</v>
      </c>
      <c r="L62" t="s">
        <v>238</v>
      </c>
      <c r="M62" t="s">
        <v>239</v>
      </c>
      <c r="N62">
        <f>_xlfn.XLOOKUP(A62,idle_time_ratio_summary!A:A,idle_time_ratio_summary!G:G,"")</f>
        <v>0</v>
      </c>
      <c r="O62">
        <f>_xlfn.XLOOKUP(A62,idle_time_ratio_summary!A:A,idle_time_ratio_summary!M:M,"")</f>
        <v>0</v>
      </c>
    </row>
    <row r="63" spans="1:15" x14ac:dyDescent="0.25">
      <c r="A63" t="s">
        <v>90</v>
      </c>
      <c r="B63">
        <v>10</v>
      </c>
      <c r="C63">
        <v>72.63</v>
      </c>
      <c r="D63">
        <v>81.25</v>
      </c>
      <c r="E63">
        <v>82.63</v>
      </c>
      <c r="F63">
        <v>-1.38</v>
      </c>
      <c r="G63">
        <v>0</v>
      </c>
      <c r="H63">
        <v>1</v>
      </c>
      <c r="I63">
        <v>0</v>
      </c>
      <c r="J63" t="s">
        <v>127</v>
      </c>
      <c r="K63">
        <v>0</v>
      </c>
      <c r="L63" t="s">
        <v>240</v>
      </c>
      <c r="M63" t="s">
        <v>241</v>
      </c>
      <c r="N63">
        <f>_xlfn.XLOOKUP(A63,idle_time_ratio_summary!A:A,idle_time_ratio_summary!G:G,"")</f>
        <v>0</v>
      </c>
      <c r="O63">
        <f>_xlfn.XLOOKUP(A63,idle_time_ratio_summary!A:A,idle_time_ratio_summary!M:M,"")</f>
        <v>0</v>
      </c>
    </row>
    <row r="64" spans="1:15" x14ac:dyDescent="0.25">
      <c r="A64" t="s">
        <v>31</v>
      </c>
      <c r="B64">
        <v>11</v>
      </c>
      <c r="C64">
        <v>72.63</v>
      </c>
      <c r="D64">
        <v>95.521600000000007</v>
      </c>
      <c r="E64">
        <v>84.35</v>
      </c>
      <c r="F64">
        <v>11.1716</v>
      </c>
      <c r="G64">
        <v>1</v>
      </c>
      <c r="H64">
        <v>0</v>
      </c>
      <c r="I64">
        <v>0</v>
      </c>
      <c r="J64" t="s">
        <v>127</v>
      </c>
      <c r="K64">
        <v>0</v>
      </c>
      <c r="L64" t="s">
        <v>242</v>
      </c>
      <c r="M64" t="s">
        <v>243</v>
      </c>
      <c r="N64">
        <f>_xlfn.XLOOKUP(A64,idle_time_ratio_summary!A:A,idle_time_ratio_summary!G:G,"")</f>
        <v>0</v>
      </c>
      <c r="O64">
        <f>_xlfn.XLOOKUP(A64,idle_time_ratio_summary!A:A,idle_time_ratio_summary!M:M,"")</f>
        <v>1</v>
      </c>
    </row>
    <row r="65" spans="1:15" x14ac:dyDescent="0.25">
      <c r="A65" t="s">
        <v>44</v>
      </c>
      <c r="B65">
        <v>11</v>
      </c>
      <c r="C65">
        <v>72.63</v>
      </c>
      <c r="D65">
        <v>101.81</v>
      </c>
      <c r="E65">
        <v>104.45</v>
      </c>
      <c r="F65">
        <v>-2.64</v>
      </c>
      <c r="G65">
        <v>0</v>
      </c>
      <c r="H65">
        <v>1</v>
      </c>
      <c r="I65">
        <v>0</v>
      </c>
      <c r="J65" t="s">
        <v>127</v>
      </c>
      <c r="K65">
        <v>0</v>
      </c>
      <c r="L65" t="s">
        <v>244</v>
      </c>
      <c r="M65" t="s">
        <v>245</v>
      </c>
      <c r="N65">
        <f>_xlfn.XLOOKUP(A65,idle_time_ratio_summary!A:A,idle_time_ratio_summary!G:G,"")</f>
        <v>0</v>
      </c>
      <c r="O65">
        <f>_xlfn.XLOOKUP(A65,idle_time_ratio_summary!A:A,idle_time_ratio_summary!M:M,"")</f>
        <v>0</v>
      </c>
    </row>
    <row r="66" spans="1:15" x14ac:dyDescent="0.25">
      <c r="A66" t="s">
        <v>47</v>
      </c>
      <c r="B66">
        <v>11</v>
      </c>
      <c r="C66">
        <v>72.63</v>
      </c>
      <c r="D66">
        <v>82.45</v>
      </c>
      <c r="E66">
        <v>84.02</v>
      </c>
      <c r="F66">
        <v>-1.57</v>
      </c>
      <c r="G66">
        <v>0</v>
      </c>
      <c r="H66">
        <v>1</v>
      </c>
      <c r="I66">
        <v>0</v>
      </c>
      <c r="J66" t="s">
        <v>127</v>
      </c>
      <c r="K66">
        <v>0</v>
      </c>
      <c r="L66" t="s">
        <v>246</v>
      </c>
      <c r="M66" t="s">
        <v>247</v>
      </c>
      <c r="N66">
        <f>_xlfn.XLOOKUP(A66,idle_time_ratio_summary!A:A,idle_time_ratio_summary!G:G,"")</f>
        <v>0</v>
      </c>
      <c r="O66">
        <f>_xlfn.XLOOKUP(A66,idle_time_ratio_summary!A:A,idle_time_ratio_summary!M:M,"")</f>
        <v>0</v>
      </c>
    </row>
    <row r="67" spans="1:15" x14ac:dyDescent="0.25">
      <c r="A67" t="s">
        <v>54</v>
      </c>
      <c r="B67">
        <v>11</v>
      </c>
      <c r="C67">
        <v>72.63</v>
      </c>
      <c r="D67">
        <v>101.0378</v>
      </c>
      <c r="E67">
        <v>99.62</v>
      </c>
      <c r="F67">
        <v>1.4177999999999999</v>
      </c>
      <c r="G67">
        <v>1</v>
      </c>
      <c r="H67">
        <v>0</v>
      </c>
      <c r="I67">
        <v>0</v>
      </c>
      <c r="J67" t="s">
        <v>127</v>
      </c>
      <c r="K67">
        <v>0</v>
      </c>
      <c r="L67" t="s">
        <v>248</v>
      </c>
      <c r="M67" t="s">
        <v>249</v>
      </c>
      <c r="N67">
        <f>_xlfn.XLOOKUP(A67,idle_time_ratio_summary!A:A,idle_time_ratio_summary!G:G,"")</f>
        <v>0</v>
      </c>
      <c r="O67">
        <f>_xlfn.XLOOKUP(A67,idle_time_ratio_summary!A:A,idle_time_ratio_summary!M:M,"")</f>
        <v>1</v>
      </c>
    </row>
    <row r="68" spans="1:15" x14ac:dyDescent="0.25">
      <c r="A68" t="s">
        <v>56</v>
      </c>
      <c r="B68">
        <v>11</v>
      </c>
      <c r="C68">
        <v>72.63</v>
      </c>
      <c r="D68">
        <v>105.381</v>
      </c>
      <c r="E68">
        <v>97.04</v>
      </c>
      <c r="F68">
        <v>8.3409999999999993</v>
      </c>
      <c r="G68">
        <v>1</v>
      </c>
      <c r="H68">
        <v>0</v>
      </c>
      <c r="I68">
        <v>0</v>
      </c>
      <c r="J68" t="s">
        <v>127</v>
      </c>
      <c r="K68">
        <v>0</v>
      </c>
      <c r="L68" t="s">
        <v>250</v>
      </c>
      <c r="M68" t="s">
        <v>251</v>
      </c>
      <c r="N68">
        <f>_xlfn.XLOOKUP(A68,idle_time_ratio_summary!A:A,idle_time_ratio_summary!G:G,"")</f>
        <v>0</v>
      </c>
      <c r="O68">
        <f>_xlfn.XLOOKUP(A68,idle_time_ratio_summary!A:A,idle_time_ratio_summary!M:M,"")</f>
        <v>1</v>
      </c>
    </row>
    <row r="69" spans="1:15" x14ac:dyDescent="0.25">
      <c r="A69" t="s">
        <v>60</v>
      </c>
      <c r="B69">
        <v>12</v>
      </c>
      <c r="C69">
        <v>72.63</v>
      </c>
      <c r="D69">
        <v>99.857600000000005</v>
      </c>
      <c r="E69">
        <v>98.95</v>
      </c>
      <c r="F69">
        <v>0.90759999999999996</v>
      </c>
      <c r="G69">
        <v>1</v>
      </c>
      <c r="H69">
        <v>0</v>
      </c>
      <c r="I69">
        <v>0</v>
      </c>
      <c r="J69" t="s">
        <v>127</v>
      </c>
      <c r="K69">
        <v>0</v>
      </c>
      <c r="L69" t="s">
        <v>252</v>
      </c>
      <c r="M69" t="s">
        <v>253</v>
      </c>
      <c r="N69">
        <f>_xlfn.XLOOKUP(A69,idle_time_ratio_summary!A:A,idle_time_ratio_summary!G:G,"")</f>
        <v>0</v>
      </c>
      <c r="O69">
        <f>_xlfn.XLOOKUP(A69,idle_time_ratio_summary!A:A,idle_time_ratio_summary!M:M,"")</f>
        <v>1</v>
      </c>
    </row>
    <row r="70" spans="1:15" x14ac:dyDescent="0.25">
      <c r="A70" t="s">
        <v>61</v>
      </c>
      <c r="B70">
        <v>13</v>
      </c>
      <c r="C70">
        <v>72.63</v>
      </c>
      <c r="D70">
        <v>105.09399999999999</v>
      </c>
      <c r="E70">
        <v>102.61</v>
      </c>
      <c r="F70">
        <v>2.484</v>
      </c>
      <c r="G70">
        <v>1</v>
      </c>
      <c r="H70">
        <v>0</v>
      </c>
      <c r="I70">
        <v>0</v>
      </c>
      <c r="J70" t="s">
        <v>127</v>
      </c>
      <c r="K70">
        <v>0</v>
      </c>
      <c r="L70" t="s">
        <v>254</v>
      </c>
      <c r="M70" t="s">
        <v>255</v>
      </c>
      <c r="N70">
        <f>_xlfn.XLOOKUP(A70,idle_time_ratio_summary!A:A,idle_time_ratio_summary!G:G,"")</f>
        <v>0</v>
      </c>
      <c r="O70">
        <f>_xlfn.XLOOKUP(A70,idle_time_ratio_summary!A:A,idle_time_ratio_summary!M:M,"")</f>
        <v>1</v>
      </c>
    </row>
    <row r="71" spans="1:15" x14ac:dyDescent="0.25">
      <c r="A71" t="s">
        <v>77</v>
      </c>
      <c r="B71">
        <v>13</v>
      </c>
      <c r="C71">
        <v>72.63</v>
      </c>
      <c r="D71">
        <v>94.09</v>
      </c>
      <c r="E71">
        <v>95.25</v>
      </c>
      <c r="F71">
        <v>-1.1599999999999999</v>
      </c>
      <c r="G71">
        <v>0</v>
      </c>
      <c r="H71">
        <v>1</v>
      </c>
      <c r="I71">
        <v>0</v>
      </c>
      <c r="J71" t="s">
        <v>127</v>
      </c>
      <c r="K71">
        <v>0</v>
      </c>
      <c r="L71" t="s">
        <v>256</v>
      </c>
      <c r="M71" t="s">
        <v>257</v>
      </c>
      <c r="N71">
        <f>_xlfn.XLOOKUP(A71,idle_time_ratio_summary!A:A,idle_time_ratio_summary!G:G,"")</f>
        <v>0</v>
      </c>
      <c r="O71">
        <f>_xlfn.XLOOKUP(A71,idle_time_ratio_summary!A:A,idle_time_ratio_summary!M:M,"")</f>
        <v>0</v>
      </c>
    </row>
    <row r="72" spans="1:15" x14ac:dyDescent="0.25">
      <c r="A72" t="s">
        <v>29</v>
      </c>
      <c r="B72">
        <v>15</v>
      </c>
      <c r="C72">
        <v>72.63</v>
      </c>
      <c r="D72">
        <v>97.357600000000005</v>
      </c>
      <c r="E72">
        <v>92.22</v>
      </c>
      <c r="F72">
        <v>5.1375999999999999</v>
      </c>
      <c r="G72">
        <v>1</v>
      </c>
      <c r="H72">
        <v>0</v>
      </c>
      <c r="I72">
        <v>0</v>
      </c>
      <c r="J72" t="s">
        <v>127</v>
      </c>
      <c r="K72">
        <v>0</v>
      </c>
      <c r="L72" t="s">
        <v>258</v>
      </c>
      <c r="M72" t="s">
        <v>259</v>
      </c>
      <c r="N72">
        <f>_xlfn.XLOOKUP(A72,idle_time_ratio_summary!A:A,idle_time_ratio_summary!G:G,"")</f>
        <v>0</v>
      </c>
      <c r="O72">
        <f>_xlfn.XLOOKUP(A72,idle_time_ratio_summary!A:A,idle_time_ratio_summary!M:M,"")</f>
        <v>1</v>
      </c>
    </row>
    <row r="73" spans="1:15" x14ac:dyDescent="0.25">
      <c r="A73" t="s">
        <v>62</v>
      </c>
      <c r="B73">
        <v>17</v>
      </c>
      <c r="C73">
        <v>72.63</v>
      </c>
      <c r="D73">
        <v>103.884</v>
      </c>
      <c r="E73">
        <v>100.89</v>
      </c>
      <c r="F73">
        <v>2.9940000000000002</v>
      </c>
      <c r="G73">
        <v>1</v>
      </c>
      <c r="H73">
        <v>0</v>
      </c>
      <c r="I73">
        <v>0</v>
      </c>
      <c r="J73" t="s">
        <v>127</v>
      </c>
      <c r="K73">
        <v>0</v>
      </c>
      <c r="L73" t="s">
        <v>260</v>
      </c>
      <c r="M73" t="s">
        <v>261</v>
      </c>
      <c r="N73">
        <f>_xlfn.XLOOKUP(A73,idle_time_ratio_summary!A:A,idle_time_ratio_summary!G:G,"")</f>
        <v>0</v>
      </c>
      <c r="O73">
        <f>_xlfn.XLOOKUP(A73,idle_time_ratio_summary!A:A,idle_time_ratio_summary!M:M,"")</f>
        <v>1</v>
      </c>
    </row>
    <row r="74" spans="1:15" x14ac:dyDescent="0.25">
      <c r="A74" t="s">
        <v>38</v>
      </c>
      <c r="B74">
        <v>20</v>
      </c>
      <c r="C74">
        <v>72.63</v>
      </c>
      <c r="D74">
        <v>102.718</v>
      </c>
      <c r="E74">
        <v>92.43</v>
      </c>
      <c r="F74">
        <v>10.288</v>
      </c>
      <c r="G74">
        <v>1</v>
      </c>
      <c r="H74">
        <v>0</v>
      </c>
      <c r="I74">
        <v>0</v>
      </c>
      <c r="J74" t="s">
        <v>127</v>
      </c>
      <c r="K74">
        <v>0</v>
      </c>
      <c r="L74" t="s">
        <v>262</v>
      </c>
      <c r="M74" t="s">
        <v>263</v>
      </c>
      <c r="N74">
        <f>_xlfn.XLOOKUP(A74,idle_time_ratio_summary!A:A,idle_time_ratio_summary!G:G,"")</f>
        <v>0</v>
      </c>
      <c r="O74">
        <f>_xlfn.XLOOKUP(A74,idle_time_ratio_summary!A:A,idle_time_ratio_summary!M:M,"")</f>
        <v>1</v>
      </c>
    </row>
    <row r="75" spans="1:15" x14ac:dyDescent="0.25">
      <c r="A75" t="s">
        <v>43</v>
      </c>
      <c r="B75">
        <v>20</v>
      </c>
      <c r="C75">
        <v>72.63</v>
      </c>
      <c r="D75">
        <v>143.898</v>
      </c>
      <c r="E75">
        <v>138.37</v>
      </c>
      <c r="F75">
        <v>5.5279999999999996</v>
      </c>
      <c r="G75">
        <v>1</v>
      </c>
      <c r="H75">
        <v>0</v>
      </c>
      <c r="I75">
        <v>0</v>
      </c>
      <c r="J75" t="s">
        <v>127</v>
      </c>
      <c r="K75">
        <v>0</v>
      </c>
      <c r="L75" t="s">
        <v>264</v>
      </c>
      <c r="M75" t="s">
        <v>265</v>
      </c>
      <c r="N75">
        <f>_xlfn.XLOOKUP(A75,idle_time_ratio_summary!A:A,idle_time_ratio_summary!G:G,"")</f>
        <v>0</v>
      </c>
      <c r="O75">
        <f>_xlfn.XLOOKUP(A75,idle_time_ratio_summary!A:A,idle_time_ratio_summary!M:M,"")</f>
        <v>1</v>
      </c>
    </row>
    <row r="76" spans="1:15" x14ac:dyDescent="0.25">
      <c r="A76" t="s">
        <v>39</v>
      </c>
      <c r="B76">
        <v>26</v>
      </c>
      <c r="C76">
        <v>72.63</v>
      </c>
      <c r="D76">
        <v>145.2664</v>
      </c>
      <c r="E76">
        <v>148.16999999999999</v>
      </c>
      <c r="F76">
        <v>-2.9036</v>
      </c>
      <c r="G76">
        <v>0</v>
      </c>
      <c r="H76">
        <v>1</v>
      </c>
      <c r="I76">
        <v>0</v>
      </c>
      <c r="J76" t="s">
        <v>127</v>
      </c>
      <c r="K76">
        <v>0</v>
      </c>
      <c r="L76" t="s">
        <v>266</v>
      </c>
      <c r="M76" t="s">
        <v>267</v>
      </c>
      <c r="N76">
        <f>_xlfn.XLOOKUP(A76,idle_time_ratio_summary!A:A,idle_time_ratio_summary!G:G,"")</f>
        <v>0</v>
      </c>
      <c r="O76">
        <f>_xlfn.XLOOKUP(A76,idle_time_ratio_summary!A:A,idle_time_ratio_summary!M:M,"")</f>
        <v>1</v>
      </c>
    </row>
    <row r="77" spans="1:15" x14ac:dyDescent="0.25">
      <c r="A77" t="s">
        <v>40</v>
      </c>
      <c r="B77">
        <v>27</v>
      </c>
      <c r="C77">
        <v>72.63</v>
      </c>
      <c r="D77">
        <v>169.91919999999999</v>
      </c>
      <c r="E77">
        <v>166.98</v>
      </c>
      <c r="F77">
        <v>2.9392</v>
      </c>
      <c r="G77">
        <v>1</v>
      </c>
      <c r="H77">
        <v>0</v>
      </c>
      <c r="I77">
        <v>0</v>
      </c>
      <c r="J77" t="s">
        <v>127</v>
      </c>
      <c r="K77">
        <v>0</v>
      </c>
      <c r="L77" t="s">
        <v>268</v>
      </c>
      <c r="M77" t="s">
        <v>269</v>
      </c>
      <c r="N77">
        <f>_xlfn.XLOOKUP(A77,idle_time_ratio_summary!A:A,idle_time_ratio_summary!G:G,"")</f>
        <v>0</v>
      </c>
      <c r="O77">
        <f>_xlfn.XLOOKUP(A77,idle_time_ratio_summary!A:A,idle_time_ratio_summary!M:M,"")</f>
        <v>1</v>
      </c>
    </row>
  </sheetData>
  <phoneticPr fontId="18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A4AC-3183-4FF4-B74D-6D04226E1BDB}">
  <dimension ref="A1:W501"/>
  <sheetViews>
    <sheetView workbookViewId="0">
      <selection activeCell="D15" sqref="D15"/>
    </sheetView>
  </sheetViews>
  <sheetFormatPr defaultRowHeight="16.5" x14ac:dyDescent="0.25"/>
  <cols>
    <col min="1" max="1" width="25.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1</v>
      </c>
      <c r="C2" t="s">
        <v>24</v>
      </c>
      <c r="D2">
        <v>14.858661174774101</v>
      </c>
      <c r="E2">
        <v>2.9619</v>
      </c>
      <c r="F2">
        <v>2.97</v>
      </c>
      <c r="G2">
        <v>0</v>
      </c>
      <c r="H2" t="s">
        <v>25</v>
      </c>
      <c r="I2">
        <v>76.64</v>
      </c>
      <c r="J2">
        <v>76.77</v>
      </c>
      <c r="K2">
        <v>-0.12999999999999501</v>
      </c>
      <c r="L2">
        <v>5</v>
      </c>
    </row>
    <row r="3" spans="1:23" x14ac:dyDescent="0.25">
      <c r="A3" t="s">
        <v>23</v>
      </c>
      <c r="B3">
        <v>2</v>
      </c>
      <c r="C3" t="s">
        <v>24</v>
      </c>
      <c r="D3">
        <v>28.050393104553201</v>
      </c>
      <c r="E3">
        <v>2.9619</v>
      </c>
      <c r="F3">
        <v>2.97</v>
      </c>
      <c r="G3">
        <v>0</v>
      </c>
      <c r="H3" t="s">
        <v>25</v>
      </c>
      <c r="I3">
        <v>76.8</v>
      </c>
      <c r="J3">
        <v>77.03</v>
      </c>
      <c r="K3">
        <v>-0.22999999999998899</v>
      </c>
      <c r="L3">
        <v>9</v>
      </c>
    </row>
    <row r="4" spans="1:23" x14ac:dyDescent="0.25">
      <c r="A4" t="s">
        <v>23</v>
      </c>
      <c r="B4">
        <v>3</v>
      </c>
      <c r="C4" t="s">
        <v>26</v>
      </c>
      <c r="D4">
        <v>32.836813211440997</v>
      </c>
      <c r="E4">
        <v>0</v>
      </c>
      <c r="F4">
        <v>0</v>
      </c>
      <c r="G4">
        <v>3.35</v>
      </c>
      <c r="H4" t="s">
        <v>27</v>
      </c>
      <c r="I4">
        <v>78.19</v>
      </c>
      <c r="J4">
        <v>75.39</v>
      </c>
      <c r="K4">
        <v>2.80000000000001</v>
      </c>
      <c r="L4">
        <v>10</v>
      </c>
      <c r="M4">
        <v>10</v>
      </c>
      <c r="N4">
        <v>12</v>
      </c>
      <c r="O4">
        <v>10</v>
      </c>
      <c r="P4">
        <v>12</v>
      </c>
      <c r="Q4">
        <v>3.28</v>
      </c>
      <c r="R4">
        <v>3.59</v>
      </c>
      <c r="S4">
        <v>3.28</v>
      </c>
      <c r="T4">
        <v>3.4638</v>
      </c>
      <c r="U4">
        <v>3.35</v>
      </c>
      <c r="V4">
        <v>0.18</v>
      </c>
      <c r="W4">
        <v>0</v>
      </c>
    </row>
    <row r="5" spans="1:23" x14ac:dyDescent="0.25">
      <c r="A5" t="s">
        <v>23</v>
      </c>
      <c r="B5">
        <v>4</v>
      </c>
      <c r="C5" t="s">
        <v>24</v>
      </c>
      <c r="D5">
        <v>36.474332094192498</v>
      </c>
      <c r="E5">
        <v>1.7969999999999999</v>
      </c>
      <c r="F5">
        <v>1.7999999999999901</v>
      </c>
      <c r="G5">
        <v>0</v>
      </c>
      <c r="H5" t="s">
        <v>25</v>
      </c>
      <c r="I5">
        <v>76.95</v>
      </c>
      <c r="J5">
        <v>77.19</v>
      </c>
      <c r="K5">
        <v>-0.239999999999994</v>
      </c>
      <c r="L5">
        <v>10</v>
      </c>
    </row>
    <row r="6" spans="1:23" x14ac:dyDescent="0.25">
      <c r="A6" t="s">
        <v>23</v>
      </c>
      <c r="B6">
        <v>5</v>
      </c>
      <c r="C6" t="s">
        <v>24</v>
      </c>
      <c r="D6">
        <v>55.801290273666297</v>
      </c>
      <c r="E6">
        <v>1.7319</v>
      </c>
      <c r="F6">
        <v>1.74</v>
      </c>
      <c r="G6">
        <v>0</v>
      </c>
      <c r="H6" t="s">
        <v>25</v>
      </c>
      <c r="I6">
        <v>74.62</v>
      </c>
      <c r="J6">
        <v>74.260000000000005</v>
      </c>
      <c r="K6">
        <v>0.36000000000001298</v>
      </c>
      <c r="L6">
        <v>18</v>
      </c>
    </row>
    <row r="7" spans="1:23" x14ac:dyDescent="0.25">
      <c r="A7" t="s">
        <v>23</v>
      </c>
      <c r="B7">
        <v>6</v>
      </c>
      <c r="C7" t="s">
        <v>26</v>
      </c>
      <c r="D7">
        <v>56.863607645034698</v>
      </c>
      <c r="E7">
        <v>0</v>
      </c>
      <c r="F7">
        <v>0.94</v>
      </c>
      <c r="G7">
        <v>3.35</v>
      </c>
      <c r="H7" t="s">
        <v>27</v>
      </c>
      <c r="I7">
        <v>77.304000000000002</v>
      </c>
      <c r="J7">
        <v>73.459999999999994</v>
      </c>
      <c r="K7">
        <v>3.8440000000000198</v>
      </c>
      <c r="L7">
        <v>18</v>
      </c>
      <c r="M7">
        <v>18</v>
      </c>
      <c r="N7">
        <v>19</v>
      </c>
      <c r="O7">
        <v>18</v>
      </c>
      <c r="P7">
        <v>19</v>
      </c>
      <c r="Q7">
        <v>4.53</v>
      </c>
      <c r="R7">
        <v>3.46</v>
      </c>
      <c r="S7">
        <v>4.53</v>
      </c>
      <c r="T7">
        <v>3.5939999999999999</v>
      </c>
      <c r="U7">
        <v>3.35</v>
      </c>
      <c r="V7">
        <v>1.74</v>
      </c>
      <c r="W7">
        <v>0.94</v>
      </c>
    </row>
    <row r="8" spans="1:23" x14ac:dyDescent="0.25">
      <c r="A8" t="s">
        <v>23</v>
      </c>
      <c r="B8">
        <v>7</v>
      </c>
      <c r="C8" t="s">
        <v>26</v>
      </c>
      <c r="D8">
        <v>67.570381402969304</v>
      </c>
      <c r="E8">
        <v>0</v>
      </c>
      <c r="F8">
        <v>0</v>
      </c>
      <c r="G8">
        <v>3.35</v>
      </c>
      <c r="H8" t="s">
        <v>27</v>
      </c>
      <c r="I8">
        <v>77.834000000000003</v>
      </c>
      <c r="J8">
        <v>71.19</v>
      </c>
      <c r="K8">
        <v>6.6440000000000001</v>
      </c>
      <c r="L8">
        <v>22</v>
      </c>
      <c r="M8">
        <v>22</v>
      </c>
      <c r="N8">
        <v>23</v>
      </c>
      <c r="O8">
        <v>22</v>
      </c>
      <c r="P8">
        <v>23</v>
      </c>
      <c r="Q8">
        <v>3.05</v>
      </c>
      <c r="R8">
        <v>3.62</v>
      </c>
      <c r="S8">
        <v>3.05</v>
      </c>
      <c r="T8">
        <v>3.5939999999999999</v>
      </c>
      <c r="U8">
        <v>3.35</v>
      </c>
      <c r="V8">
        <v>0.54</v>
      </c>
      <c r="W8">
        <v>0</v>
      </c>
    </row>
    <row r="9" spans="1:23" x14ac:dyDescent="0.25">
      <c r="A9" t="s">
        <v>23</v>
      </c>
      <c r="B9">
        <v>8</v>
      </c>
      <c r="C9" t="s">
        <v>24</v>
      </c>
      <c r="D9">
        <v>71.203735113143907</v>
      </c>
      <c r="E9">
        <v>1.8096000000000001</v>
      </c>
      <c r="F9">
        <v>1.8099999999999901</v>
      </c>
      <c r="G9">
        <v>0</v>
      </c>
      <c r="H9" t="s">
        <v>25</v>
      </c>
      <c r="I9">
        <v>76.863999999999905</v>
      </c>
      <c r="J9">
        <v>73</v>
      </c>
      <c r="K9">
        <v>3.8639999999999901</v>
      </c>
      <c r="L9">
        <v>22</v>
      </c>
    </row>
    <row r="10" spans="1:23" x14ac:dyDescent="0.25">
      <c r="A10" t="s">
        <v>23</v>
      </c>
      <c r="B10">
        <v>9</v>
      </c>
      <c r="C10" t="s">
        <v>24</v>
      </c>
      <c r="D10">
        <v>73.055706262588501</v>
      </c>
      <c r="E10">
        <v>3.6192000000000002</v>
      </c>
      <c r="F10">
        <v>3.62</v>
      </c>
      <c r="G10">
        <v>0</v>
      </c>
      <c r="H10" t="s">
        <v>25</v>
      </c>
      <c r="I10">
        <v>80.483999999999995</v>
      </c>
      <c r="J10">
        <v>76.62</v>
      </c>
      <c r="K10">
        <v>3.8639999999999901</v>
      </c>
      <c r="L10">
        <v>22</v>
      </c>
    </row>
    <row r="11" spans="1:23" x14ac:dyDescent="0.25">
      <c r="A11" t="s">
        <v>28</v>
      </c>
      <c r="B11">
        <v>1</v>
      </c>
      <c r="C11" t="s">
        <v>24</v>
      </c>
      <c r="D11">
        <v>16.3840782642364</v>
      </c>
      <c r="E11">
        <v>1.7969999999999999</v>
      </c>
      <c r="F11">
        <v>1.7999999999999901</v>
      </c>
      <c r="G11">
        <v>0</v>
      </c>
      <c r="H11" t="s">
        <v>25</v>
      </c>
      <c r="I11">
        <v>73.41</v>
      </c>
      <c r="J11">
        <v>73.55</v>
      </c>
      <c r="K11">
        <v>-0.139999999999986</v>
      </c>
      <c r="L11">
        <v>8</v>
      </c>
    </row>
    <row r="12" spans="1:23" x14ac:dyDescent="0.25">
      <c r="A12" t="s">
        <v>28</v>
      </c>
      <c r="B12">
        <v>2</v>
      </c>
      <c r="C12" t="s">
        <v>24</v>
      </c>
      <c r="D12">
        <v>18.201219558715799</v>
      </c>
      <c r="E12">
        <v>3.5939999999999999</v>
      </c>
      <c r="F12">
        <v>3.6</v>
      </c>
      <c r="G12">
        <v>0</v>
      </c>
      <c r="H12" t="s">
        <v>25</v>
      </c>
      <c r="I12">
        <v>77.010000000000005</v>
      </c>
      <c r="J12">
        <v>77.14</v>
      </c>
      <c r="K12">
        <v>-0.12999999999999501</v>
      </c>
      <c r="L12">
        <v>8</v>
      </c>
    </row>
    <row r="13" spans="1:23" x14ac:dyDescent="0.25">
      <c r="A13" t="s">
        <v>28</v>
      </c>
      <c r="B13">
        <v>3</v>
      </c>
      <c r="C13" t="s">
        <v>26</v>
      </c>
      <c r="D13">
        <v>20.065595865249598</v>
      </c>
      <c r="E13">
        <v>0</v>
      </c>
      <c r="F13">
        <v>3.86</v>
      </c>
      <c r="G13">
        <v>3.35</v>
      </c>
      <c r="H13" t="s">
        <v>27</v>
      </c>
      <c r="I13">
        <v>78.693799999999996</v>
      </c>
      <c r="J13">
        <v>75.599999999999994</v>
      </c>
      <c r="K13">
        <v>3.0938000000000101</v>
      </c>
      <c r="L13">
        <v>8</v>
      </c>
      <c r="M13">
        <v>8</v>
      </c>
      <c r="N13">
        <v>6</v>
      </c>
      <c r="O13">
        <v>8</v>
      </c>
      <c r="P13">
        <v>6</v>
      </c>
      <c r="Q13">
        <v>7.32</v>
      </c>
      <c r="R13">
        <v>3.59</v>
      </c>
      <c r="S13">
        <v>7.32</v>
      </c>
      <c r="T13">
        <v>3.4638</v>
      </c>
      <c r="U13">
        <v>3.35</v>
      </c>
      <c r="V13">
        <v>5.4</v>
      </c>
      <c r="W13">
        <v>3.86</v>
      </c>
    </row>
    <row r="14" spans="1:23" x14ac:dyDescent="0.25">
      <c r="A14" t="s">
        <v>28</v>
      </c>
      <c r="B14">
        <v>4</v>
      </c>
      <c r="C14" t="s">
        <v>26</v>
      </c>
      <c r="D14">
        <v>28.875026464462199</v>
      </c>
      <c r="E14">
        <v>0</v>
      </c>
      <c r="F14">
        <v>0</v>
      </c>
      <c r="G14">
        <v>3.35</v>
      </c>
      <c r="H14" t="s">
        <v>27</v>
      </c>
      <c r="I14">
        <v>77.623800000000003</v>
      </c>
      <c r="J14">
        <v>71.430000000000007</v>
      </c>
      <c r="K14">
        <v>6.1937999999999898</v>
      </c>
      <c r="L14">
        <v>10</v>
      </c>
      <c r="M14">
        <v>10</v>
      </c>
      <c r="N14">
        <v>12</v>
      </c>
      <c r="O14">
        <v>10</v>
      </c>
      <c r="P14">
        <v>12</v>
      </c>
      <c r="Q14">
        <v>2.2200000000000002</v>
      </c>
      <c r="R14">
        <v>3.59</v>
      </c>
      <c r="S14">
        <v>2.2200000000000002</v>
      </c>
      <c r="T14">
        <v>3.4638</v>
      </c>
      <c r="U14">
        <v>3.35</v>
      </c>
      <c r="V14">
        <v>1.23999999999999</v>
      </c>
      <c r="W14">
        <v>0</v>
      </c>
    </row>
    <row r="15" spans="1:23" x14ac:dyDescent="0.25">
      <c r="A15" t="s">
        <v>28</v>
      </c>
      <c r="B15">
        <v>5</v>
      </c>
      <c r="C15" t="s">
        <v>24</v>
      </c>
      <c r="D15">
        <v>41.343744039535501</v>
      </c>
      <c r="E15">
        <v>1.79</v>
      </c>
      <c r="F15">
        <v>1.79</v>
      </c>
      <c r="G15">
        <v>0</v>
      </c>
      <c r="H15" t="s">
        <v>25</v>
      </c>
      <c r="I15">
        <v>77.983800000000002</v>
      </c>
      <c r="J15">
        <v>72.489999999999995</v>
      </c>
      <c r="K15">
        <v>5.4938000000000002</v>
      </c>
      <c r="L15">
        <v>14</v>
      </c>
    </row>
    <row r="16" spans="1:23" x14ac:dyDescent="0.25">
      <c r="A16" t="s">
        <v>28</v>
      </c>
      <c r="B16">
        <v>6</v>
      </c>
      <c r="C16" t="s">
        <v>26</v>
      </c>
      <c r="D16">
        <v>51.970006704330402</v>
      </c>
      <c r="E16">
        <v>0</v>
      </c>
      <c r="F16">
        <v>0</v>
      </c>
      <c r="G16">
        <v>3.35</v>
      </c>
      <c r="H16" t="s">
        <v>27</v>
      </c>
      <c r="I16">
        <v>76.813800000000001</v>
      </c>
      <c r="J16">
        <v>68.569999999999993</v>
      </c>
      <c r="K16">
        <v>8.2438000000000002</v>
      </c>
      <c r="L16">
        <v>18</v>
      </c>
      <c r="M16">
        <v>18</v>
      </c>
      <c r="N16">
        <v>19</v>
      </c>
      <c r="O16">
        <v>18</v>
      </c>
      <c r="P16">
        <v>19</v>
      </c>
      <c r="Q16">
        <v>3.04</v>
      </c>
      <c r="R16">
        <v>3.46</v>
      </c>
      <c r="S16">
        <v>3.04</v>
      </c>
      <c r="T16">
        <v>3.5939999999999999</v>
      </c>
      <c r="U16">
        <v>3.35</v>
      </c>
      <c r="V16">
        <v>0.54999999999999905</v>
      </c>
      <c r="W16">
        <v>0</v>
      </c>
    </row>
    <row r="17" spans="1:23" x14ac:dyDescent="0.25">
      <c r="A17" t="s">
        <v>28</v>
      </c>
      <c r="B17">
        <v>7</v>
      </c>
      <c r="C17" t="s">
        <v>24</v>
      </c>
      <c r="D17">
        <v>55.436668634414602</v>
      </c>
      <c r="E17">
        <v>1.7319</v>
      </c>
      <c r="F17">
        <v>1.74</v>
      </c>
      <c r="G17">
        <v>0</v>
      </c>
      <c r="H17" t="s">
        <v>25</v>
      </c>
      <c r="I17">
        <v>75.623800000000003</v>
      </c>
      <c r="J17">
        <v>70.3</v>
      </c>
      <c r="K17">
        <v>5.3238000000000003</v>
      </c>
      <c r="L17">
        <v>18</v>
      </c>
    </row>
    <row r="18" spans="1:23" x14ac:dyDescent="0.25">
      <c r="A18" t="s">
        <v>28</v>
      </c>
      <c r="B18">
        <v>8</v>
      </c>
      <c r="C18" t="s">
        <v>24</v>
      </c>
      <c r="D18">
        <v>62.271257400512603</v>
      </c>
      <c r="E18">
        <v>2.9619</v>
      </c>
      <c r="F18">
        <v>2.97</v>
      </c>
      <c r="G18">
        <v>0</v>
      </c>
      <c r="H18" t="s">
        <v>25</v>
      </c>
      <c r="I18">
        <v>78.593800000000002</v>
      </c>
      <c r="J18">
        <v>72.36</v>
      </c>
      <c r="K18">
        <v>6.2338000000000102</v>
      </c>
      <c r="L18">
        <v>21</v>
      </c>
    </row>
    <row r="19" spans="1:23" x14ac:dyDescent="0.25">
      <c r="A19" t="s">
        <v>28</v>
      </c>
      <c r="B19">
        <v>9</v>
      </c>
      <c r="C19" t="s">
        <v>24</v>
      </c>
      <c r="D19">
        <v>67.272863626480103</v>
      </c>
      <c r="E19">
        <v>1.8096000000000001</v>
      </c>
      <c r="F19">
        <v>1.8099999999999901</v>
      </c>
      <c r="G19">
        <v>0</v>
      </c>
      <c r="H19" t="s">
        <v>25</v>
      </c>
      <c r="I19">
        <v>78.783799999999999</v>
      </c>
      <c r="J19">
        <v>72.64</v>
      </c>
      <c r="K19">
        <v>6.1438000000000104</v>
      </c>
      <c r="L19">
        <v>22</v>
      </c>
    </row>
    <row r="20" spans="1:23" x14ac:dyDescent="0.25">
      <c r="A20" t="s">
        <v>28</v>
      </c>
      <c r="B20">
        <v>10</v>
      </c>
      <c r="C20" t="s">
        <v>24</v>
      </c>
      <c r="D20">
        <v>72.496334552764793</v>
      </c>
      <c r="E20">
        <v>1.7969999999999999</v>
      </c>
      <c r="F20">
        <v>1.7999999999999901</v>
      </c>
      <c r="G20">
        <v>0</v>
      </c>
      <c r="H20" t="s">
        <v>25</v>
      </c>
      <c r="I20">
        <v>80.293800000000005</v>
      </c>
      <c r="J20">
        <v>74.209999999999994</v>
      </c>
      <c r="K20">
        <v>6.0838000000000099</v>
      </c>
      <c r="L20">
        <v>23</v>
      </c>
    </row>
    <row r="21" spans="1:23" x14ac:dyDescent="0.25">
      <c r="A21" t="s">
        <v>29</v>
      </c>
      <c r="B21">
        <v>1</v>
      </c>
      <c r="C21" t="s">
        <v>24</v>
      </c>
      <c r="D21">
        <v>17.06050491333</v>
      </c>
      <c r="E21">
        <v>1.7969999999999999</v>
      </c>
      <c r="F21">
        <v>1.7999999999999901</v>
      </c>
      <c r="G21">
        <v>0</v>
      </c>
      <c r="H21" t="s">
        <v>25</v>
      </c>
      <c r="I21">
        <v>74.19</v>
      </c>
      <c r="J21">
        <v>74.25</v>
      </c>
      <c r="K21">
        <v>-5.9999999999988E-2</v>
      </c>
      <c r="L21">
        <v>8</v>
      </c>
    </row>
    <row r="22" spans="1:23" x14ac:dyDescent="0.25">
      <c r="A22" t="s">
        <v>29</v>
      </c>
      <c r="B22">
        <v>2</v>
      </c>
      <c r="C22" t="s">
        <v>26</v>
      </c>
      <c r="D22">
        <v>17.693304061889599</v>
      </c>
      <c r="E22">
        <v>0</v>
      </c>
      <c r="F22">
        <v>0.78</v>
      </c>
      <c r="G22">
        <v>3.35</v>
      </c>
      <c r="H22" t="s">
        <v>27</v>
      </c>
      <c r="I22">
        <v>76.393799999999999</v>
      </c>
      <c r="J22">
        <v>73.23</v>
      </c>
      <c r="K22">
        <v>3.16379999999999</v>
      </c>
      <c r="L22">
        <v>8</v>
      </c>
      <c r="M22">
        <v>8</v>
      </c>
      <c r="N22">
        <v>6</v>
      </c>
      <c r="O22">
        <v>8</v>
      </c>
      <c r="P22">
        <v>6</v>
      </c>
      <c r="Q22">
        <v>4.24</v>
      </c>
      <c r="R22">
        <v>3.59</v>
      </c>
      <c r="S22">
        <v>4.24</v>
      </c>
      <c r="T22">
        <v>3.4638</v>
      </c>
      <c r="U22">
        <v>3.35</v>
      </c>
      <c r="V22">
        <v>1.7999999999999901</v>
      </c>
      <c r="W22">
        <v>0.78</v>
      </c>
    </row>
    <row r="23" spans="1:23" x14ac:dyDescent="0.25">
      <c r="A23" t="s">
        <v>29</v>
      </c>
      <c r="B23">
        <v>3</v>
      </c>
      <c r="C23" t="s">
        <v>24</v>
      </c>
      <c r="D23">
        <v>29.531098604202199</v>
      </c>
      <c r="E23">
        <v>1.7319</v>
      </c>
      <c r="F23">
        <v>1.74</v>
      </c>
      <c r="G23">
        <v>0</v>
      </c>
      <c r="H23" t="s">
        <v>25</v>
      </c>
      <c r="I23">
        <v>78.023799999999994</v>
      </c>
      <c r="J23">
        <v>73.81</v>
      </c>
      <c r="K23">
        <v>4.2138</v>
      </c>
      <c r="L23">
        <v>12</v>
      </c>
    </row>
    <row r="24" spans="1:23" x14ac:dyDescent="0.25">
      <c r="A24" t="s">
        <v>29</v>
      </c>
      <c r="B24">
        <v>4</v>
      </c>
      <c r="C24" t="s">
        <v>24</v>
      </c>
      <c r="D24">
        <v>31.254966497421201</v>
      </c>
      <c r="E24">
        <v>3.4638</v>
      </c>
      <c r="F24">
        <v>3.46</v>
      </c>
      <c r="G24">
        <v>0</v>
      </c>
      <c r="H24" t="s">
        <v>25</v>
      </c>
      <c r="I24">
        <v>81.483800000000002</v>
      </c>
      <c r="J24">
        <v>77.27</v>
      </c>
      <c r="K24">
        <v>4.2138</v>
      </c>
      <c r="L24">
        <v>12</v>
      </c>
    </row>
    <row r="25" spans="1:23" x14ac:dyDescent="0.25">
      <c r="A25" t="s">
        <v>29</v>
      </c>
      <c r="B25">
        <v>5</v>
      </c>
      <c r="C25" t="s">
        <v>26</v>
      </c>
      <c r="D25">
        <v>33.823368549346903</v>
      </c>
      <c r="E25">
        <v>0</v>
      </c>
      <c r="F25">
        <v>4.18</v>
      </c>
      <c r="G25">
        <v>3.35</v>
      </c>
      <c r="H25" t="s">
        <v>27</v>
      </c>
      <c r="I25">
        <v>79.507599999999996</v>
      </c>
      <c r="J25">
        <v>76.25</v>
      </c>
      <c r="K25">
        <v>3.2576000000000098</v>
      </c>
      <c r="L25">
        <v>10</v>
      </c>
      <c r="M25">
        <v>12</v>
      </c>
      <c r="N25">
        <v>10</v>
      </c>
      <c r="O25">
        <v>10</v>
      </c>
      <c r="P25">
        <v>12</v>
      </c>
      <c r="Q25">
        <v>3.46</v>
      </c>
      <c r="R25">
        <v>7.77</v>
      </c>
      <c r="S25">
        <v>3.46</v>
      </c>
      <c r="T25">
        <v>3.4638</v>
      </c>
      <c r="U25">
        <v>3.35</v>
      </c>
      <c r="V25">
        <v>5.2</v>
      </c>
      <c r="W25">
        <v>4.18</v>
      </c>
    </row>
    <row r="26" spans="1:23" x14ac:dyDescent="0.25">
      <c r="A26" t="s">
        <v>29</v>
      </c>
      <c r="B26">
        <v>6</v>
      </c>
      <c r="C26" t="s">
        <v>24</v>
      </c>
      <c r="D26">
        <v>47.699790000915499</v>
      </c>
      <c r="E26">
        <v>1.79</v>
      </c>
      <c r="F26">
        <v>1.79</v>
      </c>
      <c r="G26">
        <v>0</v>
      </c>
      <c r="H26" t="s">
        <v>25</v>
      </c>
      <c r="I26">
        <v>80.907600000000002</v>
      </c>
      <c r="J26">
        <v>75.56</v>
      </c>
      <c r="K26">
        <v>5.3476000000000097</v>
      </c>
      <c r="L26">
        <v>14</v>
      </c>
    </row>
    <row r="27" spans="1:23" x14ac:dyDescent="0.25">
      <c r="A27" t="s">
        <v>29</v>
      </c>
      <c r="B27">
        <v>7</v>
      </c>
      <c r="C27" t="s">
        <v>24</v>
      </c>
      <c r="D27">
        <v>56.865103721618603</v>
      </c>
      <c r="E27">
        <v>1.7319</v>
      </c>
      <c r="F27">
        <v>1.74</v>
      </c>
      <c r="G27">
        <v>0</v>
      </c>
      <c r="H27" t="s">
        <v>25</v>
      </c>
      <c r="I27">
        <v>80.587599999999995</v>
      </c>
      <c r="J27">
        <v>75.31</v>
      </c>
      <c r="K27">
        <v>5.2776000000000201</v>
      </c>
      <c r="L27">
        <v>18</v>
      </c>
    </row>
    <row r="28" spans="1:23" x14ac:dyDescent="0.25">
      <c r="A28" t="s">
        <v>29</v>
      </c>
      <c r="B28">
        <v>8</v>
      </c>
      <c r="C28" t="s">
        <v>24</v>
      </c>
      <c r="D28">
        <v>58.630231380462597</v>
      </c>
      <c r="E28">
        <v>3.4638</v>
      </c>
      <c r="F28">
        <v>3.46</v>
      </c>
      <c r="G28">
        <v>0</v>
      </c>
      <c r="H28" t="s">
        <v>25</v>
      </c>
      <c r="I28">
        <v>84.047600000000003</v>
      </c>
      <c r="J28">
        <v>78.78</v>
      </c>
      <c r="K28">
        <v>5.2676000000000096</v>
      </c>
      <c r="L28">
        <v>18</v>
      </c>
    </row>
    <row r="29" spans="1:23" x14ac:dyDescent="0.25">
      <c r="A29" t="s">
        <v>29</v>
      </c>
      <c r="B29">
        <v>9</v>
      </c>
      <c r="C29" t="s">
        <v>24</v>
      </c>
      <c r="D29">
        <v>63.184494495391803</v>
      </c>
      <c r="E29">
        <v>1.7969999999999999</v>
      </c>
      <c r="F29">
        <v>1.7999999999999901</v>
      </c>
      <c r="G29">
        <v>0</v>
      </c>
      <c r="H29" t="s">
        <v>25</v>
      </c>
      <c r="I29">
        <v>83.307599999999994</v>
      </c>
      <c r="J29">
        <v>78.069999999999993</v>
      </c>
      <c r="K29">
        <v>5.23760000000002</v>
      </c>
      <c r="L29">
        <v>19</v>
      </c>
    </row>
    <row r="30" spans="1:23" x14ac:dyDescent="0.25">
      <c r="A30" t="s">
        <v>29</v>
      </c>
      <c r="B30">
        <v>10</v>
      </c>
      <c r="C30" t="s">
        <v>24</v>
      </c>
      <c r="D30">
        <v>64.967643737792898</v>
      </c>
      <c r="E30">
        <v>3.5939999999999999</v>
      </c>
      <c r="F30">
        <v>3.59</v>
      </c>
      <c r="G30">
        <v>0</v>
      </c>
      <c r="H30" t="s">
        <v>25</v>
      </c>
      <c r="I30">
        <v>86.897599999999997</v>
      </c>
      <c r="J30">
        <v>81.66</v>
      </c>
      <c r="K30">
        <v>5.23760000000002</v>
      </c>
      <c r="L30">
        <v>19</v>
      </c>
    </row>
    <row r="31" spans="1:23" x14ac:dyDescent="0.25">
      <c r="A31" t="s">
        <v>29</v>
      </c>
      <c r="B31">
        <v>11</v>
      </c>
      <c r="C31" t="s">
        <v>24</v>
      </c>
      <c r="D31">
        <v>68.5929887294769</v>
      </c>
      <c r="E31">
        <v>7.1879999999999997</v>
      </c>
      <c r="F31">
        <v>7.19</v>
      </c>
      <c r="G31">
        <v>0</v>
      </c>
      <c r="H31" t="s">
        <v>25</v>
      </c>
      <c r="I31">
        <v>94.087599999999995</v>
      </c>
      <c r="J31">
        <v>88.85</v>
      </c>
      <c r="K31">
        <v>5.23760000000002</v>
      </c>
      <c r="L31">
        <v>19</v>
      </c>
    </row>
    <row r="32" spans="1:23" x14ac:dyDescent="0.25">
      <c r="A32" t="s">
        <v>29</v>
      </c>
      <c r="B32">
        <v>12</v>
      </c>
      <c r="C32" t="s">
        <v>24</v>
      </c>
      <c r="D32">
        <v>75.274171352386404</v>
      </c>
      <c r="E32">
        <v>2.9619</v>
      </c>
      <c r="F32">
        <v>2.97</v>
      </c>
      <c r="G32">
        <v>0</v>
      </c>
      <c r="H32" t="s">
        <v>25</v>
      </c>
      <c r="I32">
        <v>90.587599999999995</v>
      </c>
      <c r="J32">
        <v>85.41</v>
      </c>
      <c r="K32">
        <v>5.1776000000000204</v>
      </c>
      <c r="L32">
        <v>21</v>
      </c>
    </row>
    <row r="33" spans="1:23" x14ac:dyDescent="0.25">
      <c r="A33" t="s">
        <v>29</v>
      </c>
      <c r="B33">
        <v>13</v>
      </c>
      <c r="C33" t="s">
        <v>24</v>
      </c>
      <c r="D33">
        <v>78.205221414565997</v>
      </c>
      <c r="E33">
        <v>5.9238</v>
      </c>
      <c r="F33">
        <v>5.92</v>
      </c>
      <c r="G33">
        <v>0</v>
      </c>
      <c r="H33" t="s">
        <v>25</v>
      </c>
      <c r="I33">
        <v>96.507599999999996</v>
      </c>
      <c r="J33">
        <v>91.33</v>
      </c>
      <c r="K33">
        <v>5.1776000000000204</v>
      </c>
      <c r="L33">
        <v>21</v>
      </c>
    </row>
    <row r="34" spans="1:23" x14ac:dyDescent="0.25">
      <c r="A34" t="s">
        <v>29</v>
      </c>
      <c r="B34">
        <v>14</v>
      </c>
      <c r="C34" t="s">
        <v>24</v>
      </c>
      <c r="D34">
        <v>84.158117771148596</v>
      </c>
      <c r="E34">
        <v>11.8476</v>
      </c>
      <c r="F34">
        <v>11.85</v>
      </c>
      <c r="G34">
        <v>0</v>
      </c>
      <c r="H34" t="s">
        <v>25</v>
      </c>
      <c r="I34">
        <v>108.35760000000001</v>
      </c>
      <c r="J34">
        <v>103.18</v>
      </c>
      <c r="K34">
        <v>5.1776000000000098</v>
      </c>
      <c r="L34">
        <v>21</v>
      </c>
    </row>
    <row r="35" spans="1:23" x14ac:dyDescent="0.25">
      <c r="A35" t="s">
        <v>29</v>
      </c>
      <c r="B35">
        <v>15</v>
      </c>
      <c r="C35" t="s">
        <v>24</v>
      </c>
      <c r="D35">
        <v>88.9932444095611</v>
      </c>
      <c r="E35">
        <v>1.7969999999999999</v>
      </c>
      <c r="F35">
        <v>1.7999999999999901</v>
      </c>
      <c r="G35">
        <v>0</v>
      </c>
      <c r="H35" t="s">
        <v>25</v>
      </c>
      <c r="I35">
        <v>99.517600000000002</v>
      </c>
      <c r="J35">
        <v>94.37</v>
      </c>
      <c r="K35">
        <v>5.1476000000000104</v>
      </c>
      <c r="L35">
        <v>23</v>
      </c>
    </row>
    <row r="36" spans="1:23" x14ac:dyDescent="0.25">
      <c r="A36" t="s">
        <v>30</v>
      </c>
      <c r="B36">
        <v>1</v>
      </c>
      <c r="C36" t="s">
        <v>26</v>
      </c>
      <c r="D36">
        <v>16.974184989929199</v>
      </c>
      <c r="E36">
        <v>0</v>
      </c>
      <c r="F36">
        <v>0</v>
      </c>
      <c r="G36">
        <v>3.35</v>
      </c>
      <c r="H36" t="s">
        <v>27</v>
      </c>
      <c r="I36">
        <v>75.41</v>
      </c>
      <c r="J36">
        <v>72.38</v>
      </c>
      <c r="K36">
        <v>3.03000000000001</v>
      </c>
      <c r="L36">
        <v>6</v>
      </c>
      <c r="M36">
        <v>6</v>
      </c>
      <c r="N36">
        <v>8</v>
      </c>
      <c r="O36">
        <v>6</v>
      </c>
      <c r="P36">
        <v>8</v>
      </c>
      <c r="Q36">
        <v>3.2</v>
      </c>
      <c r="R36">
        <v>3.46</v>
      </c>
      <c r="S36">
        <v>3.2</v>
      </c>
      <c r="T36">
        <v>3.5939999999999999</v>
      </c>
      <c r="U36">
        <v>3.35</v>
      </c>
      <c r="V36">
        <v>0.38999999999999901</v>
      </c>
      <c r="W36">
        <v>0</v>
      </c>
    </row>
    <row r="37" spans="1:23" x14ac:dyDescent="0.25">
      <c r="A37" t="s">
        <v>30</v>
      </c>
      <c r="B37">
        <v>2</v>
      </c>
      <c r="C37" t="s">
        <v>24</v>
      </c>
      <c r="D37">
        <v>27.657611608505199</v>
      </c>
      <c r="E37">
        <v>1.7969999999999999</v>
      </c>
      <c r="F37">
        <v>1.7999999999999901</v>
      </c>
      <c r="G37">
        <v>0</v>
      </c>
      <c r="H37" t="s">
        <v>25</v>
      </c>
      <c r="I37">
        <v>76.260000000000005</v>
      </c>
      <c r="J37">
        <v>71.83</v>
      </c>
      <c r="K37">
        <v>4.43</v>
      </c>
      <c r="L37">
        <v>10</v>
      </c>
    </row>
    <row r="38" spans="1:23" x14ac:dyDescent="0.25">
      <c r="A38" t="s">
        <v>30</v>
      </c>
      <c r="B38">
        <v>3</v>
      </c>
      <c r="C38" t="s">
        <v>24</v>
      </c>
      <c r="D38">
        <v>29.432824850082302</v>
      </c>
      <c r="E38">
        <v>3.5939999999999999</v>
      </c>
      <c r="F38">
        <v>3.59</v>
      </c>
      <c r="G38">
        <v>0</v>
      </c>
      <c r="H38" t="s">
        <v>25</v>
      </c>
      <c r="I38">
        <v>79.849999999999994</v>
      </c>
      <c r="J38">
        <v>75.430000000000007</v>
      </c>
      <c r="K38">
        <v>4.42</v>
      </c>
      <c r="L38">
        <v>10</v>
      </c>
    </row>
    <row r="39" spans="1:23" x14ac:dyDescent="0.25">
      <c r="A39" t="s">
        <v>30</v>
      </c>
      <c r="B39">
        <v>4</v>
      </c>
      <c r="C39" t="s">
        <v>24</v>
      </c>
      <c r="D39">
        <v>33.042376518249498</v>
      </c>
      <c r="E39">
        <v>7.1879999999999997</v>
      </c>
      <c r="F39">
        <v>7.19</v>
      </c>
      <c r="G39">
        <v>0</v>
      </c>
      <c r="H39" t="s">
        <v>25</v>
      </c>
      <c r="I39">
        <v>87.043800000000005</v>
      </c>
      <c r="J39">
        <v>80.28</v>
      </c>
      <c r="K39">
        <v>6.7637999999999998</v>
      </c>
      <c r="L39">
        <v>10</v>
      </c>
    </row>
    <row r="40" spans="1:23" x14ac:dyDescent="0.25">
      <c r="A40" t="s">
        <v>31</v>
      </c>
      <c r="B40">
        <v>1</v>
      </c>
      <c r="C40" t="s">
        <v>24</v>
      </c>
      <c r="D40">
        <v>17.853978872299098</v>
      </c>
      <c r="E40">
        <v>1.7969999999999999</v>
      </c>
      <c r="F40">
        <v>1.7999999999999901</v>
      </c>
      <c r="G40">
        <v>0</v>
      </c>
      <c r="H40" t="s">
        <v>25</v>
      </c>
      <c r="I40">
        <v>74.92</v>
      </c>
      <c r="J40">
        <v>74.98</v>
      </c>
      <c r="K40">
        <v>-6.0000000000002197E-2</v>
      </c>
      <c r="L40">
        <v>8</v>
      </c>
    </row>
    <row r="41" spans="1:23" x14ac:dyDescent="0.25">
      <c r="A41" t="s">
        <v>31</v>
      </c>
      <c r="B41">
        <v>2</v>
      </c>
      <c r="C41" t="s">
        <v>26</v>
      </c>
      <c r="D41">
        <v>18.6574382781982</v>
      </c>
      <c r="E41">
        <v>0</v>
      </c>
      <c r="F41">
        <v>1.00999999999999</v>
      </c>
      <c r="G41">
        <v>3.35</v>
      </c>
      <c r="H41" t="s">
        <v>27</v>
      </c>
      <c r="I41">
        <v>77.353800000000007</v>
      </c>
      <c r="J41">
        <v>74.19</v>
      </c>
      <c r="K41">
        <v>3.1638000000000002</v>
      </c>
      <c r="L41">
        <v>8</v>
      </c>
      <c r="M41">
        <v>8</v>
      </c>
      <c r="N41">
        <v>6</v>
      </c>
      <c r="O41">
        <v>8</v>
      </c>
      <c r="P41">
        <v>6</v>
      </c>
      <c r="Q41">
        <v>4.47</v>
      </c>
      <c r="R41">
        <v>3.59</v>
      </c>
      <c r="S41">
        <v>4.47</v>
      </c>
      <c r="T41">
        <v>3.4638</v>
      </c>
      <c r="U41">
        <v>3.35</v>
      </c>
      <c r="V41">
        <v>1.7999999999999901</v>
      </c>
      <c r="W41">
        <v>1.00999999999999</v>
      </c>
    </row>
    <row r="42" spans="1:23" x14ac:dyDescent="0.25">
      <c r="A42" t="s">
        <v>31</v>
      </c>
      <c r="B42">
        <v>3</v>
      </c>
      <c r="C42" t="s">
        <v>24</v>
      </c>
      <c r="D42">
        <v>30.439923286437899</v>
      </c>
      <c r="E42">
        <v>1.7969999999999999</v>
      </c>
      <c r="F42">
        <v>1.7999999999999901</v>
      </c>
      <c r="G42">
        <v>0</v>
      </c>
      <c r="H42" t="s">
        <v>25</v>
      </c>
      <c r="I42">
        <v>78.473799999999997</v>
      </c>
      <c r="J42">
        <v>74.650000000000006</v>
      </c>
      <c r="K42">
        <v>3.8237999999999999</v>
      </c>
      <c r="L42">
        <v>10</v>
      </c>
    </row>
    <row r="43" spans="1:23" x14ac:dyDescent="0.25">
      <c r="A43" t="s">
        <v>31</v>
      </c>
      <c r="B43">
        <v>4</v>
      </c>
      <c r="C43" t="s">
        <v>26</v>
      </c>
      <c r="D43">
        <v>31.899049997329701</v>
      </c>
      <c r="E43">
        <v>0</v>
      </c>
      <c r="F43">
        <v>1.5999999999999901</v>
      </c>
      <c r="G43">
        <v>3.35</v>
      </c>
      <c r="H43" t="s">
        <v>27</v>
      </c>
      <c r="I43">
        <v>81.497600000000006</v>
      </c>
      <c r="J43">
        <v>74.45</v>
      </c>
      <c r="K43">
        <v>7.0476000000000001</v>
      </c>
      <c r="L43">
        <v>10</v>
      </c>
      <c r="M43">
        <v>10</v>
      </c>
      <c r="N43">
        <v>12</v>
      </c>
      <c r="O43">
        <v>10</v>
      </c>
      <c r="P43">
        <v>12</v>
      </c>
      <c r="Q43">
        <v>5.0599999999999996</v>
      </c>
      <c r="R43">
        <v>3.59</v>
      </c>
      <c r="S43">
        <v>5.0599999999999996</v>
      </c>
      <c r="T43">
        <v>3.4638</v>
      </c>
      <c r="U43">
        <v>3.35</v>
      </c>
      <c r="V43">
        <v>1.7999999999999901</v>
      </c>
      <c r="W43">
        <v>1.5999999999999901</v>
      </c>
    </row>
    <row r="44" spans="1:23" x14ac:dyDescent="0.25">
      <c r="A44" t="s">
        <v>31</v>
      </c>
      <c r="B44">
        <v>5</v>
      </c>
      <c r="C44" t="s">
        <v>24</v>
      </c>
      <c r="D44">
        <v>42.734301805496202</v>
      </c>
      <c r="E44">
        <v>1.79</v>
      </c>
      <c r="F44">
        <v>1.79</v>
      </c>
      <c r="G44">
        <v>0</v>
      </c>
      <c r="H44" t="s">
        <v>25</v>
      </c>
      <c r="I44">
        <v>81.837599999999995</v>
      </c>
      <c r="J44">
        <v>73.959999999999994</v>
      </c>
      <c r="K44">
        <v>7.8776000000000099</v>
      </c>
      <c r="L44">
        <v>14</v>
      </c>
    </row>
    <row r="45" spans="1:23" x14ac:dyDescent="0.25">
      <c r="A45" t="s">
        <v>31</v>
      </c>
      <c r="B45">
        <v>6</v>
      </c>
      <c r="C45" t="s">
        <v>24</v>
      </c>
      <c r="D45">
        <v>47.237830877303999</v>
      </c>
      <c r="E45">
        <v>1.6689000000000001</v>
      </c>
      <c r="F45">
        <v>1.67</v>
      </c>
      <c r="G45">
        <v>0</v>
      </c>
      <c r="H45" t="s">
        <v>25</v>
      </c>
      <c r="I45">
        <v>82.827600000000004</v>
      </c>
      <c r="J45">
        <v>74.989999999999995</v>
      </c>
      <c r="K45">
        <v>7.8376000000000001</v>
      </c>
      <c r="L45">
        <v>15</v>
      </c>
    </row>
    <row r="46" spans="1:23" x14ac:dyDescent="0.25">
      <c r="A46" t="s">
        <v>31</v>
      </c>
      <c r="B46">
        <v>7</v>
      </c>
      <c r="C46" t="s">
        <v>24</v>
      </c>
      <c r="D46">
        <v>56.859544277191098</v>
      </c>
      <c r="E46">
        <v>1.7319</v>
      </c>
      <c r="F46">
        <v>1.74</v>
      </c>
      <c r="G46">
        <v>0</v>
      </c>
      <c r="H46" t="s">
        <v>25</v>
      </c>
      <c r="I46">
        <v>83.037599999999998</v>
      </c>
      <c r="J46">
        <v>75.3</v>
      </c>
      <c r="K46">
        <v>7.7376000000000102</v>
      </c>
      <c r="L46">
        <v>18</v>
      </c>
    </row>
    <row r="47" spans="1:23" x14ac:dyDescent="0.25">
      <c r="A47" t="s">
        <v>31</v>
      </c>
      <c r="B47">
        <v>8</v>
      </c>
      <c r="C47" t="s">
        <v>24</v>
      </c>
      <c r="D47">
        <v>58.603520393371497</v>
      </c>
      <c r="E47">
        <v>3.4638</v>
      </c>
      <c r="F47">
        <v>3.46</v>
      </c>
      <c r="G47">
        <v>0</v>
      </c>
      <c r="H47" t="s">
        <v>25</v>
      </c>
      <c r="I47">
        <v>86.497600000000006</v>
      </c>
      <c r="J47">
        <v>78.760000000000005</v>
      </c>
      <c r="K47">
        <v>7.7375999999999996</v>
      </c>
      <c r="L47">
        <v>18</v>
      </c>
    </row>
    <row r="48" spans="1:23" x14ac:dyDescent="0.25">
      <c r="A48" t="s">
        <v>31</v>
      </c>
      <c r="B48">
        <v>9</v>
      </c>
      <c r="C48" t="s">
        <v>24</v>
      </c>
      <c r="D48">
        <v>62.049927473068202</v>
      </c>
      <c r="E48">
        <v>6.9276</v>
      </c>
      <c r="F48">
        <v>6.93</v>
      </c>
      <c r="G48">
        <v>0</v>
      </c>
      <c r="H48" t="s">
        <v>25</v>
      </c>
      <c r="I48">
        <v>93.431600000000003</v>
      </c>
      <c r="J48">
        <v>83.04</v>
      </c>
      <c r="K48">
        <v>10.391599999999899</v>
      </c>
      <c r="L48">
        <v>18</v>
      </c>
    </row>
    <row r="49" spans="1:23" x14ac:dyDescent="0.25">
      <c r="A49" t="s">
        <v>31</v>
      </c>
      <c r="B49">
        <v>10</v>
      </c>
      <c r="C49" t="s">
        <v>24</v>
      </c>
      <c r="D49">
        <v>69.012463092803898</v>
      </c>
      <c r="E49">
        <v>6.9276</v>
      </c>
      <c r="F49">
        <v>6.92</v>
      </c>
      <c r="G49">
        <v>0</v>
      </c>
      <c r="H49" t="s">
        <v>25</v>
      </c>
      <c r="I49">
        <v>100.3516</v>
      </c>
      <c r="J49">
        <v>89.02</v>
      </c>
      <c r="K49">
        <v>11.3316</v>
      </c>
      <c r="L49">
        <v>18</v>
      </c>
    </row>
    <row r="50" spans="1:23" x14ac:dyDescent="0.25">
      <c r="A50" t="s">
        <v>31</v>
      </c>
      <c r="B50">
        <v>11</v>
      </c>
      <c r="C50" t="s">
        <v>24</v>
      </c>
      <c r="D50">
        <v>79.4934241771698</v>
      </c>
      <c r="E50">
        <v>1.7969999999999999</v>
      </c>
      <c r="F50">
        <v>1.7999999999999901</v>
      </c>
      <c r="G50">
        <v>0</v>
      </c>
      <c r="H50" t="s">
        <v>25</v>
      </c>
      <c r="I50">
        <v>96.0915999999999</v>
      </c>
      <c r="J50">
        <v>84.9</v>
      </c>
      <c r="K50">
        <v>11.1915999999999</v>
      </c>
      <c r="L50">
        <v>23</v>
      </c>
    </row>
    <row r="51" spans="1:23" x14ac:dyDescent="0.25">
      <c r="A51" t="s">
        <v>32</v>
      </c>
      <c r="B51">
        <v>1</v>
      </c>
      <c r="C51" t="s">
        <v>24</v>
      </c>
      <c r="D51">
        <v>7.6345703601837096</v>
      </c>
      <c r="E51">
        <v>1.8096000000000001</v>
      </c>
      <c r="F51">
        <v>1.8099999999999901</v>
      </c>
      <c r="G51">
        <v>0</v>
      </c>
      <c r="H51" t="s">
        <v>25</v>
      </c>
      <c r="I51">
        <v>74.25</v>
      </c>
      <c r="J51">
        <v>74.31</v>
      </c>
      <c r="K51">
        <v>-6.0000000000002197E-2</v>
      </c>
      <c r="L51">
        <v>3</v>
      </c>
    </row>
    <row r="52" spans="1:23" x14ac:dyDescent="0.25">
      <c r="A52" t="s">
        <v>32</v>
      </c>
      <c r="B52">
        <v>2</v>
      </c>
      <c r="C52" t="s">
        <v>24</v>
      </c>
      <c r="D52">
        <v>17.775180578231801</v>
      </c>
      <c r="E52">
        <v>1.7969999999999999</v>
      </c>
      <c r="F52">
        <v>1.7999999999999901</v>
      </c>
      <c r="G52">
        <v>0</v>
      </c>
      <c r="H52" t="s">
        <v>25</v>
      </c>
      <c r="I52">
        <v>74.86</v>
      </c>
      <c r="J52">
        <v>74.92</v>
      </c>
      <c r="K52">
        <v>-5.9999999999988E-2</v>
      </c>
      <c r="L52">
        <v>8</v>
      </c>
    </row>
    <row r="53" spans="1:23" x14ac:dyDescent="0.25">
      <c r="A53" t="s">
        <v>32</v>
      </c>
      <c r="B53">
        <v>3</v>
      </c>
      <c r="C53" t="s">
        <v>24</v>
      </c>
      <c r="D53">
        <v>19.5509226322174</v>
      </c>
      <c r="E53">
        <v>3.5939999999999999</v>
      </c>
      <c r="F53">
        <v>3.6</v>
      </c>
      <c r="G53">
        <v>0</v>
      </c>
      <c r="H53" t="s">
        <v>25</v>
      </c>
      <c r="I53">
        <v>78.459999999999994</v>
      </c>
      <c r="J53">
        <v>78.52</v>
      </c>
      <c r="K53">
        <v>-5.9999999999988E-2</v>
      </c>
      <c r="L53">
        <v>8</v>
      </c>
    </row>
    <row r="54" spans="1:23" x14ac:dyDescent="0.25">
      <c r="A54" t="s">
        <v>32</v>
      </c>
      <c r="B54">
        <v>4</v>
      </c>
      <c r="C54" t="s">
        <v>24</v>
      </c>
      <c r="D54">
        <v>23.153182744979802</v>
      </c>
      <c r="E54">
        <v>7.1879999999999997</v>
      </c>
      <c r="F54">
        <v>7.18</v>
      </c>
      <c r="G54">
        <v>0</v>
      </c>
      <c r="H54" t="s">
        <v>25</v>
      </c>
      <c r="I54">
        <v>85.643799999999999</v>
      </c>
      <c r="J54">
        <v>83.37</v>
      </c>
      <c r="K54">
        <v>2.2738</v>
      </c>
      <c r="L54">
        <v>8</v>
      </c>
    </row>
    <row r="55" spans="1:23" x14ac:dyDescent="0.25">
      <c r="A55" t="s">
        <v>32</v>
      </c>
      <c r="B55">
        <v>5</v>
      </c>
      <c r="C55" t="s">
        <v>24</v>
      </c>
      <c r="D55">
        <v>41.152162313461297</v>
      </c>
      <c r="E55">
        <v>1.7969999999999999</v>
      </c>
      <c r="F55">
        <v>1.7999999999999901</v>
      </c>
      <c r="G55">
        <v>0</v>
      </c>
      <c r="H55" t="s">
        <v>25</v>
      </c>
      <c r="I55">
        <v>83.053799999999995</v>
      </c>
      <c r="J55">
        <v>85.37</v>
      </c>
      <c r="K55">
        <v>-2.31619999999999</v>
      </c>
      <c r="L55">
        <v>10</v>
      </c>
    </row>
    <row r="56" spans="1:23" x14ac:dyDescent="0.25">
      <c r="A56" t="s">
        <v>32</v>
      </c>
      <c r="B56">
        <v>6</v>
      </c>
      <c r="C56" t="s">
        <v>24</v>
      </c>
      <c r="D56">
        <v>42.967363357543903</v>
      </c>
      <c r="E56">
        <v>3.5939999999999999</v>
      </c>
      <c r="F56">
        <v>3.59</v>
      </c>
      <c r="G56">
        <v>0</v>
      </c>
      <c r="H56" t="s">
        <v>25</v>
      </c>
      <c r="I56">
        <v>86.643799999999999</v>
      </c>
      <c r="J56">
        <v>88.96</v>
      </c>
      <c r="K56">
        <v>-2.3161999999999798</v>
      </c>
      <c r="L56">
        <v>10</v>
      </c>
    </row>
    <row r="57" spans="1:23" x14ac:dyDescent="0.25">
      <c r="A57" t="s">
        <v>32</v>
      </c>
      <c r="B57">
        <v>7</v>
      </c>
      <c r="C57" t="s">
        <v>24</v>
      </c>
      <c r="D57">
        <v>54.193217515945399</v>
      </c>
      <c r="E57">
        <v>1.6689000000000001</v>
      </c>
      <c r="F57">
        <v>1.67</v>
      </c>
      <c r="G57">
        <v>0</v>
      </c>
      <c r="H57" t="s">
        <v>25</v>
      </c>
      <c r="I57">
        <v>83.113799999999998</v>
      </c>
      <c r="J57">
        <v>85.53</v>
      </c>
      <c r="K57">
        <v>-2.4161999999999799</v>
      </c>
      <c r="L57">
        <v>15</v>
      </c>
    </row>
    <row r="58" spans="1:23" x14ac:dyDescent="0.25">
      <c r="A58" t="s">
        <v>32</v>
      </c>
      <c r="B58">
        <v>8</v>
      </c>
      <c r="C58" t="s">
        <v>26</v>
      </c>
      <c r="D58">
        <v>54.835201501846299</v>
      </c>
      <c r="E58">
        <v>0</v>
      </c>
      <c r="F58">
        <v>0.42999999999999899</v>
      </c>
      <c r="G58">
        <v>3.35</v>
      </c>
      <c r="H58" t="s">
        <v>27</v>
      </c>
      <c r="I58">
        <v>85.463800000000006</v>
      </c>
      <c r="J58">
        <v>84.29</v>
      </c>
      <c r="K58">
        <v>1.1738</v>
      </c>
      <c r="L58">
        <v>15</v>
      </c>
      <c r="M58">
        <v>15</v>
      </c>
      <c r="N58">
        <v>14</v>
      </c>
      <c r="O58">
        <v>15</v>
      </c>
      <c r="P58">
        <v>14</v>
      </c>
      <c r="Q58">
        <v>4.01</v>
      </c>
      <c r="R58">
        <v>3.34</v>
      </c>
      <c r="S58">
        <v>4.01</v>
      </c>
      <c r="T58">
        <v>3.58</v>
      </c>
      <c r="U58">
        <v>3.35</v>
      </c>
      <c r="V58">
        <v>1.67</v>
      </c>
      <c r="W58">
        <v>0.42999999999999899</v>
      </c>
    </row>
    <row r="59" spans="1:23" x14ac:dyDescent="0.25">
      <c r="A59" t="s">
        <v>32</v>
      </c>
      <c r="B59">
        <v>9</v>
      </c>
      <c r="C59" t="s">
        <v>24</v>
      </c>
      <c r="D59">
        <v>67.799095630645695</v>
      </c>
      <c r="E59">
        <v>1.7319</v>
      </c>
      <c r="F59">
        <v>1.74</v>
      </c>
      <c r="G59">
        <v>0</v>
      </c>
      <c r="H59" t="s">
        <v>25</v>
      </c>
      <c r="I59">
        <v>86.413799999999995</v>
      </c>
      <c r="J59">
        <v>86.24</v>
      </c>
      <c r="K59">
        <v>0.17380000000002799</v>
      </c>
      <c r="L59">
        <v>18</v>
      </c>
    </row>
    <row r="60" spans="1:23" x14ac:dyDescent="0.25">
      <c r="A60" t="s">
        <v>32</v>
      </c>
      <c r="B60">
        <v>10</v>
      </c>
      <c r="C60" t="s">
        <v>24</v>
      </c>
      <c r="D60">
        <v>81.098858833312903</v>
      </c>
      <c r="E60">
        <v>1.8096000000000001</v>
      </c>
      <c r="F60">
        <v>1.8099999999999901</v>
      </c>
      <c r="G60">
        <v>0</v>
      </c>
      <c r="H60" t="s">
        <v>25</v>
      </c>
      <c r="I60">
        <v>86.523799999999994</v>
      </c>
      <c r="J60">
        <v>86.47</v>
      </c>
      <c r="K60">
        <v>5.3800000000023801E-2</v>
      </c>
      <c r="L60">
        <v>22</v>
      </c>
    </row>
    <row r="61" spans="1:23" x14ac:dyDescent="0.25">
      <c r="A61" t="s">
        <v>33</v>
      </c>
      <c r="B61">
        <v>1</v>
      </c>
      <c r="C61" t="s">
        <v>24</v>
      </c>
      <c r="D61">
        <v>27.0702917575836</v>
      </c>
      <c r="E61">
        <v>1.7969999999999999</v>
      </c>
      <c r="F61">
        <v>1.7999999999999901</v>
      </c>
      <c r="G61">
        <v>0</v>
      </c>
      <c r="H61" t="s">
        <v>25</v>
      </c>
      <c r="I61">
        <v>71.08</v>
      </c>
      <c r="J61">
        <v>71.25</v>
      </c>
      <c r="K61">
        <v>-0.16999999999998699</v>
      </c>
      <c r="L61">
        <v>10</v>
      </c>
    </row>
    <row r="62" spans="1:23" x14ac:dyDescent="0.25">
      <c r="A62" t="s">
        <v>33</v>
      </c>
      <c r="B62">
        <v>2</v>
      </c>
      <c r="C62" t="s">
        <v>24</v>
      </c>
      <c r="D62">
        <v>28.853118181228599</v>
      </c>
      <c r="E62">
        <v>3.5939999999999999</v>
      </c>
      <c r="F62">
        <v>3.59</v>
      </c>
      <c r="G62">
        <v>0</v>
      </c>
      <c r="H62" t="s">
        <v>25</v>
      </c>
      <c r="I62">
        <v>74.67</v>
      </c>
      <c r="J62">
        <v>74.84</v>
      </c>
      <c r="K62">
        <v>-0.17000000000000101</v>
      </c>
      <c r="L62">
        <v>10</v>
      </c>
    </row>
    <row r="63" spans="1:23" x14ac:dyDescent="0.25">
      <c r="A63" t="s">
        <v>33</v>
      </c>
      <c r="B63">
        <v>3</v>
      </c>
      <c r="C63" t="s">
        <v>24</v>
      </c>
      <c r="D63">
        <v>32.454100608825598</v>
      </c>
      <c r="E63">
        <v>7.1879999999999997</v>
      </c>
      <c r="F63">
        <v>7.19</v>
      </c>
      <c r="G63">
        <v>0</v>
      </c>
      <c r="H63" t="s">
        <v>25</v>
      </c>
      <c r="I63">
        <v>81.863799999999998</v>
      </c>
      <c r="J63">
        <v>79.69</v>
      </c>
      <c r="K63">
        <v>2.1738000000000102</v>
      </c>
      <c r="L63">
        <v>10</v>
      </c>
    </row>
    <row r="64" spans="1:23" x14ac:dyDescent="0.25">
      <c r="A64" t="s">
        <v>33</v>
      </c>
      <c r="B64">
        <v>4</v>
      </c>
      <c r="C64" t="s">
        <v>24</v>
      </c>
      <c r="D64">
        <v>60.325540542602504</v>
      </c>
      <c r="E64">
        <v>1.7319</v>
      </c>
      <c r="F64">
        <v>1.74</v>
      </c>
      <c r="G64">
        <v>0</v>
      </c>
      <c r="H64" t="s">
        <v>25</v>
      </c>
      <c r="I64">
        <v>74.553799999999995</v>
      </c>
      <c r="J64">
        <v>78.78</v>
      </c>
      <c r="K64">
        <v>-4.2261999999999897</v>
      </c>
      <c r="L64">
        <v>18</v>
      </c>
    </row>
    <row r="65" spans="1:23" x14ac:dyDescent="0.25">
      <c r="A65" t="s">
        <v>33</v>
      </c>
      <c r="B65">
        <v>5</v>
      </c>
      <c r="C65" t="s">
        <v>24</v>
      </c>
      <c r="D65">
        <v>62.069845199584897</v>
      </c>
      <c r="E65">
        <v>3.4638</v>
      </c>
      <c r="F65">
        <v>3.46</v>
      </c>
      <c r="G65">
        <v>0</v>
      </c>
      <c r="H65" t="s">
        <v>25</v>
      </c>
      <c r="I65">
        <v>78.013800000000003</v>
      </c>
      <c r="J65">
        <v>82.24</v>
      </c>
      <c r="K65">
        <v>-4.2261999999999897</v>
      </c>
      <c r="L65">
        <v>18</v>
      </c>
    </row>
    <row r="66" spans="1:23" x14ac:dyDescent="0.25">
      <c r="A66" t="s">
        <v>33</v>
      </c>
      <c r="B66">
        <v>6</v>
      </c>
      <c r="C66" t="s">
        <v>24</v>
      </c>
      <c r="D66">
        <v>65.561213731765704</v>
      </c>
      <c r="E66">
        <v>6.9276</v>
      </c>
      <c r="F66">
        <v>6.93</v>
      </c>
      <c r="G66">
        <v>0</v>
      </c>
      <c r="H66" t="s">
        <v>25</v>
      </c>
      <c r="I66">
        <v>84.947800000000001</v>
      </c>
      <c r="J66">
        <v>86.55</v>
      </c>
      <c r="K66">
        <v>-1.6021999999999901</v>
      </c>
      <c r="L66">
        <v>18</v>
      </c>
    </row>
    <row r="67" spans="1:23" x14ac:dyDescent="0.25">
      <c r="A67" t="s">
        <v>33</v>
      </c>
      <c r="B67">
        <v>7</v>
      </c>
      <c r="C67" t="s">
        <v>24</v>
      </c>
      <c r="D67">
        <v>82.592899560928302</v>
      </c>
      <c r="E67">
        <v>1.8096000000000001</v>
      </c>
      <c r="F67">
        <v>1.8099999999999901</v>
      </c>
      <c r="G67">
        <v>0</v>
      </c>
      <c r="H67" t="s">
        <v>25</v>
      </c>
      <c r="I67">
        <v>81.227800000000002</v>
      </c>
      <c r="J67">
        <v>87.99</v>
      </c>
      <c r="K67">
        <v>-6.7621999999999902</v>
      </c>
      <c r="L67">
        <v>22</v>
      </c>
    </row>
    <row r="68" spans="1:23" x14ac:dyDescent="0.25">
      <c r="A68" t="s">
        <v>34</v>
      </c>
      <c r="B68">
        <v>1</v>
      </c>
      <c r="C68" t="s">
        <v>24</v>
      </c>
      <c r="D68">
        <v>30.572076320648101</v>
      </c>
      <c r="E68">
        <v>1.7319</v>
      </c>
      <c r="F68">
        <v>1.74</v>
      </c>
      <c r="G68">
        <v>0</v>
      </c>
      <c r="H68" t="s">
        <v>25</v>
      </c>
      <c r="I68">
        <v>70.86</v>
      </c>
      <c r="J68">
        <v>71.260000000000005</v>
      </c>
      <c r="K68">
        <v>-0.39999999999999097</v>
      </c>
      <c r="L68">
        <v>12</v>
      </c>
    </row>
    <row r="69" spans="1:23" x14ac:dyDescent="0.25">
      <c r="A69" t="s">
        <v>34</v>
      </c>
      <c r="B69">
        <v>2</v>
      </c>
      <c r="C69" t="s">
        <v>24</v>
      </c>
      <c r="D69">
        <v>49.311406135558997</v>
      </c>
      <c r="E69">
        <v>1.7319</v>
      </c>
      <c r="F69">
        <v>1.74</v>
      </c>
      <c r="G69">
        <v>0</v>
      </c>
      <c r="H69" t="s">
        <v>25</v>
      </c>
      <c r="I69">
        <v>69.06</v>
      </c>
      <c r="J69">
        <v>67.77</v>
      </c>
      <c r="K69">
        <v>1.29000000000002</v>
      </c>
      <c r="L69">
        <v>18</v>
      </c>
    </row>
    <row r="70" spans="1:23" x14ac:dyDescent="0.25">
      <c r="A70" t="s">
        <v>34</v>
      </c>
      <c r="B70">
        <v>3</v>
      </c>
      <c r="C70" t="s">
        <v>24</v>
      </c>
      <c r="D70">
        <v>51.125124454498199</v>
      </c>
      <c r="E70">
        <v>3.4638</v>
      </c>
      <c r="F70">
        <v>3.46</v>
      </c>
      <c r="G70">
        <v>0</v>
      </c>
      <c r="H70" t="s">
        <v>25</v>
      </c>
      <c r="I70">
        <v>72.52</v>
      </c>
      <c r="J70">
        <v>71.23</v>
      </c>
      <c r="K70">
        <v>1.29</v>
      </c>
      <c r="L70">
        <v>18</v>
      </c>
    </row>
    <row r="71" spans="1:23" x14ac:dyDescent="0.25">
      <c r="A71" t="s">
        <v>34</v>
      </c>
      <c r="B71">
        <v>4</v>
      </c>
      <c r="C71" t="s">
        <v>24</v>
      </c>
      <c r="D71">
        <v>64.874806404113698</v>
      </c>
      <c r="E71">
        <v>1.8096000000000001</v>
      </c>
      <c r="F71">
        <v>1.8099999999999901</v>
      </c>
      <c r="G71">
        <v>0</v>
      </c>
      <c r="H71" t="s">
        <v>25</v>
      </c>
      <c r="I71">
        <v>71.31</v>
      </c>
      <c r="J71">
        <v>70.23</v>
      </c>
      <c r="K71">
        <v>1.0799999999999901</v>
      </c>
      <c r="L71">
        <v>22</v>
      </c>
    </row>
    <row r="72" spans="1:23" x14ac:dyDescent="0.25">
      <c r="A72" t="s">
        <v>35</v>
      </c>
      <c r="B72">
        <v>1</v>
      </c>
      <c r="C72" t="s">
        <v>24</v>
      </c>
      <c r="D72">
        <v>17.082568645477199</v>
      </c>
      <c r="E72">
        <v>1.7319</v>
      </c>
      <c r="F72">
        <v>1.74</v>
      </c>
      <c r="G72">
        <v>0</v>
      </c>
      <c r="H72" t="s">
        <v>25</v>
      </c>
      <c r="I72">
        <v>74.180000000000007</v>
      </c>
      <c r="J72">
        <v>74.28</v>
      </c>
      <c r="K72">
        <v>-9.9999999999994302E-2</v>
      </c>
      <c r="L72">
        <v>6</v>
      </c>
    </row>
    <row r="73" spans="1:23" x14ac:dyDescent="0.25">
      <c r="A73" t="s">
        <v>35</v>
      </c>
      <c r="B73">
        <v>2</v>
      </c>
      <c r="C73" t="s">
        <v>24</v>
      </c>
      <c r="D73">
        <v>30.6525778770446</v>
      </c>
      <c r="E73">
        <v>1.7969999999999999</v>
      </c>
      <c r="F73">
        <v>1.7999999999999901</v>
      </c>
      <c r="G73">
        <v>0</v>
      </c>
      <c r="H73" t="s">
        <v>25</v>
      </c>
      <c r="I73">
        <v>70.930000000000007</v>
      </c>
      <c r="J73">
        <v>71.37</v>
      </c>
      <c r="K73">
        <v>-0.439999999999997</v>
      </c>
      <c r="L73">
        <v>10</v>
      </c>
    </row>
    <row r="74" spans="1:23" x14ac:dyDescent="0.25">
      <c r="A74" t="s">
        <v>35</v>
      </c>
      <c r="B74">
        <v>3</v>
      </c>
      <c r="C74" t="s">
        <v>24</v>
      </c>
      <c r="D74">
        <v>54.918114423751803</v>
      </c>
      <c r="E74">
        <v>1.7969999999999999</v>
      </c>
      <c r="F74">
        <v>1.7999999999999901</v>
      </c>
      <c r="G74">
        <v>0</v>
      </c>
      <c r="H74" t="s">
        <v>25</v>
      </c>
      <c r="I74">
        <v>69.930000000000007</v>
      </c>
      <c r="J74">
        <v>69.73</v>
      </c>
      <c r="K74">
        <v>0.20000000000000201</v>
      </c>
      <c r="L74">
        <v>19</v>
      </c>
    </row>
    <row r="75" spans="1:23" x14ac:dyDescent="0.25">
      <c r="A75" t="s">
        <v>36</v>
      </c>
      <c r="B75">
        <v>1</v>
      </c>
      <c r="C75" t="s">
        <v>24</v>
      </c>
      <c r="D75">
        <v>16.845112562179501</v>
      </c>
      <c r="E75">
        <v>1.7319</v>
      </c>
      <c r="F75">
        <v>1.74</v>
      </c>
      <c r="G75">
        <v>0</v>
      </c>
      <c r="H75" t="s">
        <v>25</v>
      </c>
      <c r="I75">
        <v>73.98</v>
      </c>
      <c r="J75">
        <v>74.08</v>
      </c>
      <c r="K75">
        <v>-9.9999999999994302E-2</v>
      </c>
      <c r="L75">
        <v>6</v>
      </c>
    </row>
    <row r="76" spans="1:23" x14ac:dyDescent="0.25">
      <c r="A76" t="s">
        <v>36</v>
      </c>
      <c r="B76">
        <v>2</v>
      </c>
      <c r="C76" t="s">
        <v>24</v>
      </c>
      <c r="D76">
        <v>51.577149391174302</v>
      </c>
      <c r="E76">
        <v>1.7319</v>
      </c>
      <c r="F76">
        <v>1.74</v>
      </c>
      <c r="G76">
        <v>0</v>
      </c>
      <c r="H76" t="s">
        <v>25</v>
      </c>
      <c r="I76">
        <v>68.44</v>
      </c>
      <c r="J76">
        <v>70.02</v>
      </c>
      <c r="K76">
        <v>-1.5799999999999801</v>
      </c>
      <c r="L76">
        <v>18</v>
      </c>
    </row>
    <row r="77" spans="1:23" x14ac:dyDescent="0.25">
      <c r="A77" t="s">
        <v>37</v>
      </c>
      <c r="B77">
        <v>1</v>
      </c>
      <c r="C77" t="s">
        <v>24</v>
      </c>
      <c r="D77">
        <v>16.5077755451202</v>
      </c>
      <c r="E77">
        <v>1.7319</v>
      </c>
      <c r="F77">
        <v>1.74</v>
      </c>
      <c r="G77">
        <v>0</v>
      </c>
      <c r="H77" t="s">
        <v>25</v>
      </c>
      <c r="I77">
        <v>73.67</v>
      </c>
      <c r="J77">
        <v>73.77</v>
      </c>
      <c r="K77">
        <v>-9.9999999999994302E-2</v>
      </c>
      <c r="L77">
        <v>6</v>
      </c>
    </row>
    <row r="78" spans="1:23" x14ac:dyDescent="0.25">
      <c r="A78" t="s">
        <v>37</v>
      </c>
      <c r="B78">
        <v>2</v>
      </c>
      <c r="C78" t="s">
        <v>24</v>
      </c>
      <c r="D78">
        <v>52.250129222869802</v>
      </c>
      <c r="E78">
        <v>1.7319</v>
      </c>
      <c r="F78">
        <v>1.74</v>
      </c>
      <c r="G78">
        <v>0</v>
      </c>
      <c r="H78" t="s">
        <v>25</v>
      </c>
      <c r="I78">
        <v>69.3</v>
      </c>
      <c r="J78">
        <v>70.58</v>
      </c>
      <c r="K78">
        <v>-1.27999999999998</v>
      </c>
      <c r="L78">
        <v>18</v>
      </c>
    </row>
    <row r="79" spans="1:23" x14ac:dyDescent="0.25">
      <c r="A79" t="s">
        <v>37</v>
      </c>
      <c r="B79">
        <v>3</v>
      </c>
      <c r="C79" t="s">
        <v>24</v>
      </c>
      <c r="D79">
        <v>53.926731348037698</v>
      </c>
      <c r="E79">
        <v>3.4638</v>
      </c>
      <c r="F79">
        <v>3.46</v>
      </c>
      <c r="G79">
        <v>0</v>
      </c>
      <c r="H79" t="s">
        <v>25</v>
      </c>
      <c r="I79">
        <v>72.760000000000005</v>
      </c>
      <c r="J79">
        <v>74.040000000000006</v>
      </c>
      <c r="K79">
        <v>-1.28</v>
      </c>
      <c r="L79">
        <v>18</v>
      </c>
    </row>
    <row r="80" spans="1:23" x14ac:dyDescent="0.25">
      <c r="A80" t="s">
        <v>37</v>
      </c>
      <c r="B80">
        <v>4</v>
      </c>
      <c r="C80" t="s">
        <v>26</v>
      </c>
      <c r="D80">
        <v>55.285274744033799</v>
      </c>
      <c r="E80">
        <v>0</v>
      </c>
      <c r="F80">
        <v>3.04</v>
      </c>
      <c r="G80">
        <v>3.35</v>
      </c>
      <c r="H80" t="s">
        <v>27</v>
      </c>
      <c r="I80">
        <v>74.084000000000003</v>
      </c>
      <c r="J80">
        <v>71.89</v>
      </c>
      <c r="K80">
        <v>2.194</v>
      </c>
      <c r="L80">
        <v>18</v>
      </c>
      <c r="M80">
        <v>18</v>
      </c>
      <c r="N80">
        <v>19</v>
      </c>
      <c r="O80">
        <v>18</v>
      </c>
      <c r="P80">
        <v>19</v>
      </c>
      <c r="Q80">
        <v>6.63</v>
      </c>
      <c r="R80">
        <v>3.46</v>
      </c>
      <c r="S80">
        <v>6.63</v>
      </c>
      <c r="T80">
        <v>3.5939999999999999</v>
      </c>
      <c r="U80">
        <v>3.35</v>
      </c>
      <c r="V80">
        <v>5.2</v>
      </c>
      <c r="W80">
        <v>3.04</v>
      </c>
    </row>
    <row r="81" spans="1:23" x14ac:dyDescent="0.25">
      <c r="A81" t="s">
        <v>37</v>
      </c>
      <c r="B81">
        <v>5</v>
      </c>
      <c r="C81" t="s">
        <v>24</v>
      </c>
      <c r="D81">
        <v>58.768300294876099</v>
      </c>
      <c r="E81">
        <v>6.9276</v>
      </c>
      <c r="F81">
        <v>6.93</v>
      </c>
      <c r="G81">
        <v>0</v>
      </c>
      <c r="H81" t="s">
        <v>25</v>
      </c>
      <c r="I81">
        <v>74.494</v>
      </c>
      <c r="J81">
        <v>78.81</v>
      </c>
      <c r="K81">
        <v>-4.3159999999999998</v>
      </c>
      <c r="L81">
        <v>18</v>
      </c>
    </row>
    <row r="82" spans="1:23" x14ac:dyDescent="0.25">
      <c r="A82" t="s">
        <v>38</v>
      </c>
      <c r="B82">
        <v>1</v>
      </c>
      <c r="C82" t="s">
        <v>24</v>
      </c>
      <c r="D82">
        <v>4.0528812408447203</v>
      </c>
      <c r="E82">
        <v>1.9964999999999999</v>
      </c>
      <c r="F82">
        <v>2</v>
      </c>
      <c r="G82">
        <v>0</v>
      </c>
      <c r="H82" t="s">
        <v>25</v>
      </c>
      <c r="I82">
        <v>74.489999999999995</v>
      </c>
      <c r="J82">
        <v>74.53</v>
      </c>
      <c r="K82">
        <v>-3.9999999999992E-2</v>
      </c>
      <c r="L82">
        <v>2</v>
      </c>
    </row>
    <row r="83" spans="1:23" x14ac:dyDescent="0.25">
      <c r="A83" t="s">
        <v>38</v>
      </c>
      <c r="B83">
        <v>2</v>
      </c>
      <c r="C83" t="s">
        <v>24</v>
      </c>
      <c r="D83">
        <v>8.6344118118286097</v>
      </c>
      <c r="E83">
        <v>1.8096000000000001</v>
      </c>
      <c r="F83">
        <v>1.8099999999999901</v>
      </c>
      <c r="G83">
        <v>0</v>
      </c>
      <c r="H83" t="s">
        <v>25</v>
      </c>
      <c r="I83">
        <v>75.290000000000006</v>
      </c>
      <c r="J83">
        <v>75.36</v>
      </c>
      <c r="K83">
        <v>-6.9999999999993096E-2</v>
      </c>
      <c r="L83">
        <v>3</v>
      </c>
    </row>
    <row r="84" spans="1:23" x14ac:dyDescent="0.25">
      <c r="A84" t="s">
        <v>38</v>
      </c>
      <c r="B84">
        <v>3</v>
      </c>
      <c r="C84" t="s">
        <v>24</v>
      </c>
      <c r="D84">
        <v>10.454699993133501</v>
      </c>
      <c r="E84">
        <v>3.6192000000000002</v>
      </c>
      <c r="F84">
        <v>3.62</v>
      </c>
      <c r="G84">
        <v>0</v>
      </c>
      <c r="H84" t="s">
        <v>25</v>
      </c>
      <c r="I84">
        <v>78.91</v>
      </c>
      <c r="J84">
        <v>78.98</v>
      </c>
      <c r="K84">
        <v>-6.9999999999993096E-2</v>
      </c>
      <c r="L84">
        <v>3</v>
      </c>
    </row>
    <row r="85" spans="1:23" x14ac:dyDescent="0.25">
      <c r="A85" t="s">
        <v>38</v>
      </c>
      <c r="B85">
        <v>4</v>
      </c>
      <c r="C85" t="s">
        <v>24</v>
      </c>
      <c r="D85">
        <v>20.9622156620025</v>
      </c>
      <c r="E85">
        <v>1.7969999999999999</v>
      </c>
      <c r="F85">
        <v>1.7999999999999901</v>
      </c>
      <c r="G85">
        <v>0</v>
      </c>
      <c r="H85" t="s">
        <v>25</v>
      </c>
      <c r="I85">
        <v>77.95</v>
      </c>
      <c r="J85">
        <v>78.11</v>
      </c>
      <c r="K85">
        <v>-0.15999999999999601</v>
      </c>
      <c r="L85">
        <v>8</v>
      </c>
    </row>
    <row r="86" spans="1:23" x14ac:dyDescent="0.25">
      <c r="A86" t="s">
        <v>38</v>
      </c>
      <c r="B86">
        <v>5</v>
      </c>
      <c r="C86" t="s">
        <v>24</v>
      </c>
      <c r="D86">
        <v>25.794215679168701</v>
      </c>
      <c r="E86">
        <v>1.7319</v>
      </c>
      <c r="F86">
        <v>1.74</v>
      </c>
      <c r="G86">
        <v>0</v>
      </c>
      <c r="H86" t="s">
        <v>25</v>
      </c>
      <c r="I86">
        <v>79.260000000000005</v>
      </c>
      <c r="J86">
        <v>79.44</v>
      </c>
      <c r="K86">
        <v>-0.179999999999992</v>
      </c>
      <c r="L86">
        <v>6</v>
      </c>
    </row>
    <row r="87" spans="1:23" x14ac:dyDescent="0.25">
      <c r="A87" t="s">
        <v>38</v>
      </c>
      <c r="B87">
        <v>6</v>
      </c>
      <c r="C87" t="s">
        <v>24</v>
      </c>
      <c r="D87">
        <v>27.514740228652901</v>
      </c>
      <c r="E87">
        <v>3.4638</v>
      </c>
      <c r="F87">
        <v>3.46</v>
      </c>
      <c r="G87">
        <v>0</v>
      </c>
      <c r="H87" t="s">
        <v>25</v>
      </c>
      <c r="I87">
        <v>82.72</v>
      </c>
      <c r="J87">
        <v>82.9</v>
      </c>
      <c r="K87">
        <v>-0.179999999999992</v>
      </c>
      <c r="L87">
        <v>6</v>
      </c>
    </row>
    <row r="88" spans="1:23" x14ac:dyDescent="0.25">
      <c r="A88" t="s">
        <v>38</v>
      </c>
      <c r="B88">
        <v>7</v>
      </c>
      <c r="C88" t="s">
        <v>24</v>
      </c>
      <c r="D88">
        <v>31.019196510314899</v>
      </c>
      <c r="E88">
        <v>6.9276</v>
      </c>
      <c r="F88">
        <v>6.93</v>
      </c>
      <c r="G88">
        <v>0</v>
      </c>
      <c r="H88" t="s">
        <v>25</v>
      </c>
      <c r="I88">
        <v>89.65</v>
      </c>
      <c r="J88">
        <v>89.83</v>
      </c>
      <c r="K88">
        <v>-0.179999999999992</v>
      </c>
      <c r="L88">
        <v>6</v>
      </c>
    </row>
    <row r="89" spans="1:23" x14ac:dyDescent="0.25">
      <c r="A89" t="s">
        <v>38</v>
      </c>
      <c r="B89">
        <v>8</v>
      </c>
      <c r="C89" t="s">
        <v>24</v>
      </c>
      <c r="D89">
        <v>43.100737333297701</v>
      </c>
      <c r="E89">
        <v>1.7969999999999999</v>
      </c>
      <c r="F89">
        <v>1.7999999999999901</v>
      </c>
      <c r="G89">
        <v>0</v>
      </c>
      <c r="H89" t="s">
        <v>25</v>
      </c>
      <c r="I89">
        <v>87.01</v>
      </c>
      <c r="J89">
        <v>87.28</v>
      </c>
      <c r="K89">
        <v>-0.26999999999998098</v>
      </c>
      <c r="L89">
        <v>10</v>
      </c>
    </row>
    <row r="90" spans="1:23" x14ac:dyDescent="0.25">
      <c r="A90" t="s">
        <v>38</v>
      </c>
      <c r="B90">
        <v>9</v>
      </c>
      <c r="C90" t="s">
        <v>24</v>
      </c>
      <c r="D90">
        <v>44.854788780212402</v>
      </c>
      <c r="E90">
        <v>3.5939999999999999</v>
      </c>
      <c r="F90">
        <v>3.59</v>
      </c>
      <c r="G90">
        <v>0</v>
      </c>
      <c r="H90" t="s">
        <v>25</v>
      </c>
      <c r="I90">
        <v>90.6</v>
      </c>
      <c r="J90">
        <v>90.87</v>
      </c>
      <c r="K90">
        <v>-0.26999999999999602</v>
      </c>
      <c r="L90">
        <v>10</v>
      </c>
    </row>
    <row r="91" spans="1:23" x14ac:dyDescent="0.25">
      <c r="A91" t="s">
        <v>38</v>
      </c>
      <c r="B91">
        <v>10</v>
      </c>
      <c r="C91" t="s">
        <v>24</v>
      </c>
      <c r="D91">
        <v>57.027095794677699</v>
      </c>
      <c r="E91">
        <v>1.79</v>
      </c>
      <c r="F91">
        <v>1.79</v>
      </c>
      <c r="G91">
        <v>0</v>
      </c>
      <c r="H91" t="s">
        <v>25</v>
      </c>
      <c r="I91">
        <v>87.86</v>
      </c>
      <c r="J91">
        <v>88.23</v>
      </c>
      <c r="K91">
        <v>-0.36999999999999</v>
      </c>
      <c r="L91">
        <v>14</v>
      </c>
    </row>
    <row r="92" spans="1:23" x14ac:dyDescent="0.25">
      <c r="A92" t="s">
        <v>38</v>
      </c>
      <c r="B92">
        <v>11</v>
      </c>
      <c r="C92" t="s">
        <v>24</v>
      </c>
      <c r="D92">
        <v>58.7961809635162</v>
      </c>
      <c r="E92">
        <v>3.58</v>
      </c>
      <c r="F92">
        <v>3.5799999999999899</v>
      </c>
      <c r="G92">
        <v>0</v>
      </c>
      <c r="H92" t="s">
        <v>25</v>
      </c>
      <c r="I92">
        <v>91.44</v>
      </c>
      <c r="J92">
        <v>91.81</v>
      </c>
      <c r="K92">
        <v>-0.36999999999997601</v>
      </c>
      <c r="L92">
        <v>14</v>
      </c>
    </row>
    <row r="93" spans="1:23" x14ac:dyDescent="0.25">
      <c r="A93" t="s">
        <v>38</v>
      </c>
      <c r="B93">
        <v>12</v>
      </c>
      <c r="C93" t="s">
        <v>26</v>
      </c>
      <c r="D93">
        <v>59.416815757751401</v>
      </c>
      <c r="E93">
        <v>0</v>
      </c>
      <c r="F93">
        <v>2.67</v>
      </c>
      <c r="G93">
        <v>3.35</v>
      </c>
      <c r="H93" t="s">
        <v>27</v>
      </c>
      <c r="I93">
        <v>89.66</v>
      </c>
      <c r="J93">
        <v>89.12</v>
      </c>
      <c r="K93">
        <v>0.54000000000000603</v>
      </c>
      <c r="L93">
        <v>15</v>
      </c>
      <c r="M93">
        <v>14</v>
      </c>
      <c r="N93">
        <v>15</v>
      </c>
      <c r="O93">
        <v>15</v>
      </c>
      <c r="P93">
        <v>14</v>
      </c>
      <c r="Q93">
        <v>3.58</v>
      </c>
      <c r="R93">
        <v>6.01</v>
      </c>
      <c r="S93">
        <v>3.58</v>
      </c>
      <c r="T93">
        <v>3.58</v>
      </c>
      <c r="U93">
        <v>3.35</v>
      </c>
      <c r="V93">
        <v>5.3699999999999903</v>
      </c>
      <c r="W93">
        <v>2.67</v>
      </c>
    </row>
    <row r="94" spans="1:23" x14ac:dyDescent="0.25">
      <c r="A94" t="s">
        <v>38</v>
      </c>
      <c r="B94">
        <v>13</v>
      </c>
      <c r="C94" t="s">
        <v>24</v>
      </c>
      <c r="D94">
        <v>68.643821716308594</v>
      </c>
      <c r="E94">
        <v>2.9619</v>
      </c>
      <c r="F94">
        <v>2.97</v>
      </c>
      <c r="G94">
        <v>0</v>
      </c>
      <c r="H94" t="s">
        <v>25</v>
      </c>
      <c r="I94">
        <v>92.63</v>
      </c>
      <c r="J94">
        <v>91.76</v>
      </c>
      <c r="K94">
        <v>0.87000000000001798</v>
      </c>
      <c r="L94">
        <v>17</v>
      </c>
    </row>
    <row r="95" spans="1:23" x14ac:dyDescent="0.25">
      <c r="A95" t="s">
        <v>38</v>
      </c>
      <c r="B95">
        <v>14</v>
      </c>
      <c r="C95" t="s">
        <v>24</v>
      </c>
      <c r="D95">
        <v>73.363951444625798</v>
      </c>
      <c r="E95">
        <v>1.7319</v>
      </c>
      <c r="F95">
        <v>1.74</v>
      </c>
      <c r="G95">
        <v>0</v>
      </c>
      <c r="H95" t="s">
        <v>25</v>
      </c>
      <c r="I95">
        <v>92.65</v>
      </c>
      <c r="J95">
        <v>91.8</v>
      </c>
      <c r="K95">
        <v>0.85000000000002196</v>
      </c>
      <c r="L95">
        <v>18</v>
      </c>
    </row>
    <row r="96" spans="1:23" x14ac:dyDescent="0.25">
      <c r="A96" t="s">
        <v>38</v>
      </c>
      <c r="B96">
        <v>15</v>
      </c>
      <c r="C96" t="s">
        <v>24</v>
      </c>
      <c r="D96">
        <v>75.106309413909898</v>
      </c>
      <c r="E96">
        <v>3.4638</v>
      </c>
      <c r="F96">
        <v>3.46</v>
      </c>
      <c r="G96">
        <v>0</v>
      </c>
      <c r="H96" t="s">
        <v>25</v>
      </c>
      <c r="I96">
        <v>96.11</v>
      </c>
      <c r="J96">
        <v>95.26</v>
      </c>
      <c r="K96">
        <v>0.85000000000000797</v>
      </c>
      <c r="L96">
        <v>18</v>
      </c>
    </row>
    <row r="97" spans="1:23" x14ac:dyDescent="0.25">
      <c r="A97" t="s">
        <v>38</v>
      </c>
      <c r="B97">
        <v>16</v>
      </c>
      <c r="C97" t="s">
        <v>26</v>
      </c>
      <c r="D97">
        <v>75.705541372299194</v>
      </c>
      <c r="E97">
        <v>0</v>
      </c>
      <c r="F97">
        <v>2.2400000000000002</v>
      </c>
      <c r="G97">
        <v>3.35</v>
      </c>
      <c r="H97" t="s">
        <v>27</v>
      </c>
      <c r="I97">
        <v>96.634</v>
      </c>
      <c r="J97">
        <v>92.31</v>
      </c>
      <c r="K97">
        <v>4.3239999999999901</v>
      </c>
      <c r="L97">
        <v>18</v>
      </c>
      <c r="M97">
        <v>18</v>
      </c>
      <c r="N97">
        <v>19</v>
      </c>
      <c r="O97">
        <v>18</v>
      </c>
      <c r="P97">
        <v>19</v>
      </c>
      <c r="Q97">
        <v>5.83</v>
      </c>
      <c r="R97">
        <v>3.46</v>
      </c>
      <c r="S97">
        <v>5.83</v>
      </c>
      <c r="T97">
        <v>3.5939999999999999</v>
      </c>
      <c r="U97">
        <v>3.35</v>
      </c>
      <c r="V97">
        <v>5.2</v>
      </c>
      <c r="W97">
        <v>2.2400000000000002</v>
      </c>
    </row>
    <row r="98" spans="1:23" x14ac:dyDescent="0.25">
      <c r="A98" t="s">
        <v>38</v>
      </c>
      <c r="B98">
        <v>17</v>
      </c>
      <c r="C98" t="s">
        <v>24</v>
      </c>
      <c r="D98">
        <v>85.4130406379699</v>
      </c>
      <c r="E98">
        <v>1.8096000000000001</v>
      </c>
      <c r="F98">
        <v>1.8099999999999901</v>
      </c>
      <c r="G98">
        <v>0</v>
      </c>
      <c r="H98" t="s">
        <v>25</v>
      </c>
      <c r="I98">
        <v>97.283999999999907</v>
      </c>
      <c r="J98">
        <v>90.81</v>
      </c>
      <c r="K98">
        <v>6.4739999999999798</v>
      </c>
      <c r="L98">
        <v>22</v>
      </c>
    </row>
    <row r="99" spans="1:23" x14ac:dyDescent="0.25">
      <c r="A99" t="s">
        <v>38</v>
      </c>
      <c r="B99">
        <v>18</v>
      </c>
      <c r="C99" t="s">
        <v>24</v>
      </c>
      <c r="D99">
        <v>87.238201141357393</v>
      </c>
      <c r="E99">
        <v>3.6192000000000002</v>
      </c>
      <c r="F99">
        <v>3.62</v>
      </c>
      <c r="G99">
        <v>0</v>
      </c>
      <c r="H99" t="s">
        <v>25</v>
      </c>
      <c r="I99">
        <v>100.904</v>
      </c>
      <c r="J99">
        <v>94.42</v>
      </c>
      <c r="K99">
        <v>6.4839999999999902</v>
      </c>
      <c r="L99">
        <v>22</v>
      </c>
    </row>
    <row r="100" spans="1:23" x14ac:dyDescent="0.25">
      <c r="A100" t="s">
        <v>38</v>
      </c>
      <c r="B100">
        <v>19</v>
      </c>
      <c r="C100" t="s">
        <v>26</v>
      </c>
      <c r="D100">
        <v>88.161070823669405</v>
      </c>
      <c r="E100">
        <v>0</v>
      </c>
      <c r="F100">
        <v>2.79</v>
      </c>
      <c r="G100">
        <v>3.35</v>
      </c>
      <c r="H100" t="s">
        <v>27</v>
      </c>
      <c r="I100">
        <v>101.58799999999999</v>
      </c>
      <c r="J100">
        <v>91.78</v>
      </c>
      <c r="K100">
        <v>9.8079999999999892</v>
      </c>
      <c r="L100">
        <v>22</v>
      </c>
      <c r="M100">
        <v>22</v>
      </c>
      <c r="N100">
        <v>23</v>
      </c>
      <c r="O100">
        <v>22</v>
      </c>
      <c r="P100">
        <v>23</v>
      </c>
      <c r="Q100">
        <v>6.38</v>
      </c>
      <c r="R100">
        <v>3.62</v>
      </c>
      <c r="S100">
        <v>6.38</v>
      </c>
      <c r="T100">
        <v>3.5939999999999999</v>
      </c>
      <c r="U100">
        <v>3.35</v>
      </c>
      <c r="V100">
        <v>5.43</v>
      </c>
      <c r="W100">
        <v>2.79</v>
      </c>
    </row>
    <row r="101" spans="1:23" x14ac:dyDescent="0.25">
      <c r="A101" t="s">
        <v>38</v>
      </c>
      <c r="B101">
        <v>20</v>
      </c>
      <c r="C101" t="s">
        <v>24</v>
      </c>
      <c r="D101">
        <v>91.809236764907794</v>
      </c>
      <c r="E101">
        <v>7.2384000000000004</v>
      </c>
      <c r="F101">
        <v>7.2399999999999904</v>
      </c>
      <c r="G101">
        <v>0</v>
      </c>
      <c r="H101" t="s">
        <v>25</v>
      </c>
      <c r="I101">
        <v>102.71799999999899</v>
      </c>
      <c r="J101">
        <v>99.02</v>
      </c>
      <c r="K101">
        <v>3.6979999999999902</v>
      </c>
      <c r="L101">
        <v>22</v>
      </c>
    </row>
    <row r="102" spans="1:23" x14ac:dyDescent="0.25">
      <c r="A102" t="s">
        <v>39</v>
      </c>
      <c r="B102">
        <v>1</v>
      </c>
      <c r="C102" t="s">
        <v>24</v>
      </c>
      <c r="D102">
        <v>4.0400650501251203</v>
      </c>
      <c r="E102">
        <v>1.9964999999999999</v>
      </c>
      <c r="F102">
        <v>2</v>
      </c>
      <c r="G102">
        <v>0</v>
      </c>
      <c r="H102" t="s">
        <v>25</v>
      </c>
      <c r="I102">
        <v>74.489999999999995</v>
      </c>
      <c r="J102">
        <v>74.53</v>
      </c>
      <c r="K102">
        <v>-3.9999999999992E-2</v>
      </c>
      <c r="L102">
        <v>2</v>
      </c>
    </row>
    <row r="103" spans="1:23" x14ac:dyDescent="0.25">
      <c r="A103" t="s">
        <v>39</v>
      </c>
      <c r="B103">
        <v>2</v>
      </c>
      <c r="C103" t="s">
        <v>24</v>
      </c>
      <c r="D103">
        <v>5.9951467514037997</v>
      </c>
      <c r="E103">
        <v>3.9929999999999999</v>
      </c>
      <c r="F103">
        <v>3.99</v>
      </c>
      <c r="G103">
        <v>0</v>
      </c>
      <c r="H103" t="s">
        <v>25</v>
      </c>
      <c r="I103">
        <v>78.48</v>
      </c>
      <c r="J103">
        <v>78.53</v>
      </c>
      <c r="K103">
        <v>-4.9999999999997102E-2</v>
      </c>
      <c r="L103">
        <v>2</v>
      </c>
    </row>
    <row r="104" spans="1:23" x14ac:dyDescent="0.25">
      <c r="A104" t="s">
        <v>39</v>
      </c>
      <c r="B104">
        <v>3</v>
      </c>
      <c r="C104" t="s">
        <v>24</v>
      </c>
      <c r="D104">
        <v>10.015365123748699</v>
      </c>
      <c r="E104">
        <v>7.9859999999999998</v>
      </c>
      <c r="F104">
        <v>7.9899999999999904</v>
      </c>
      <c r="G104">
        <v>0</v>
      </c>
      <c r="H104" t="s">
        <v>25</v>
      </c>
      <c r="I104">
        <v>86.469200000000001</v>
      </c>
      <c r="J104">
        <v>83.17</v>
      </c>
      <c r="K104">
        <v>3.2992000000000101</v>
      </c>
      <c r="L104">
        <v>2</v>
      </c>
    </row>
    <row r="105" spans="1:23" x14ac:dyDescent="0.25">
      <c r="A105" t="s">
        <v>39</v>
      </c>
      <c r="B105">
        <v>4</v>
      </c>
      <c r="C105" t="s">
        <v>24</v>
      </c>
      <c r="D105">
        <v>24.7481369972229</v>
      </c>
      <c r="E105">
        <v>2.9619</v>
      </c>
      <c r="F105">
        <v>2.97</v>
      </c>
      <c r="G105">
        <v>0</v>
      </c>
      <c r="H105" t="s">
        <v>25</v>
      </c>
      <c r="I105">
        <v>82.129199999999997</v>
      </c>
      <c r="J105">
        <v>86.66</v>
      </c>
      <c r="K105">
        <v>-4.5307999999999797</v>
      </c>
      <c r="L105">
        <v>5</v>
      </c>
    </row>
    <row r="106" spans="1:23" x14ac:dyDescent="0.25">
      <c r="A106" t="s">
        <v>39</v>
      </c>
      <c r="B106">
        <v>5</v>
      </c>
      <c r="C106" t="s">
        <v>24</v>
      </c>
      <c r="D106">
        <v>30.390140533447202</v>
      </c>
      <c r="E106">
        <v>1.7319</v>
      </c>
      <c r="F106">
        <v>1.74</v>
      </c>
      <c r="G106">
        <v>0</v>
      </c>
      <c r="H106" t="s">
        <v>25</v>
      </c>
      <c r="I106">
        <v>83.099199999999996</v>
      </c>
      <c r="J106">
        <v>87.65</v>
      </c>
      <c r="K106">
        <v>-4.55079999999999</v>
      </c>
      <c r="L106">
        <v>6</v>
      </c>
    </row>
    <row r="107" spans="1:23" x14ac:dyDescent="0.25">
      <c r="A107" t="s">
        <v>39</v>
      </c>
      <c r="B107">
        <v>6</v>
      </c>
      <c r="C107" t="s">
        <v>24</v>
      </c>
      <c r="D107">
        <v>32.121562004089299</v>
      </c>
      <c r="E107">
        <v>3.4638</v>
      </c>
      <c r="F107">
        <v>3.46</v>
      </c>
      <c r="G107">
        <v>0</v>
      </c>
      <c r="H107" t="s">
        <v>25</v>
      </c>
      <c r="I107">
        <v>86.559200000000004</v>
      </c>
      <c r="J107">
        <v>91.12</v>
      </c>
      <c r="K107">
        <v>-4.5608000000000004</v>
      </c>
      <c r="L107">
        <v>6</v>
      </c>
    </row>
    <row r="108" spans="1:23" x14ac:dyDescent="0.25">
      <c r="A108" t="s">
        <v>39</v>
      </c>
      <c r="B108">
        <v>7</v>
      </c>
      <c r="C108" t="s">
        <v>24</v>
      </c>
      <c r="D108">
        <v>35.619853258132899</v>
      </c>
      <c r="E108">
        <v>6.9276</v>
      </c>
      <c r="F108">
        <v>6.93</v>
      </c>
      <c r="G108">
        <v>0</v>
      </c>
      <c r="H108" t="s">
        <v>25</v>
      </c>
      <c r="I108">
        <v>93.493200000000002</v>
      </c>
      <c r="J108">
        <v>95.42</v>
      </c>
      <c r="K108">
        <v>-1.9268000000000001</v>
      </c>
      <c r="L108">
        <v>6</v>
      </c>
    </row>
    <row r="109" spans="1:23" x14ac:dyDescent="0.25">
      <c r="A109" t="s">
        <v>39</v>
      </c>
      <c r="B109">
        <v>8</v>
      </c>
      <c r="C109" t="s">
        <v>24</v>
      </c>
      <c r="D109">
        <v>53.5381596088409</v>
      </c>
      <c r="E109">
        <v>1.7969999999999999</v>
      </c>
      <c r="F109">
        <v>1.7999999999999901</v>
      </c>
      <c r="G109">
        <v>0</v>
      </c>
      <c r="H109" t="s">
        <v>25</v>
      </c>
      <c r="I109">
        <v>91.993200000000002</v>
      </c>
      <c r="J109">
        <v>97.71</v>
      </c>
      <c r="K109">
        <v>-5.7167999999999699</v>
      </c>
      <c r="L109">
        <v>10</v>
      </c>
    </row>
    <row r="110" spans="1:23" x14ac:dyDescent="0.25">
      <c r="A110" t="s">
        <v>39</v>
      </c>
      <c r="B110">
        <v>9</v>
      </c>
      <c r="C110" t="s">
        <v>24</v>
      </c>
      <c r="D110">
        <v>55.304301738738999</v>
      </c>
      <c r="E110">
        <v>3.5939999999999999</v>
      </c>
      <c r="F110">
        <v>3.59</v>
      </c>
      <c r="G110">
        <v>0</v>
      </c>
      <c r="H110" t="s">
        <v>25</v>
      </c>
      <c r="I110">
        <v>95.583200000000005</v>
      </c>
      <c r="J110">
        <v>101.31</v>
      </c>
      <c r="K110">
        <v>-5.7267999999999901</v>
      </c>
      <c r="L110">
        <v>10</v>
      </c>
    </row>
    <row r="111" spans="1:23" x14ac:dyDescent="0.25">
      <c r="A111" t="s">
        <v>39</v>
      </c>
      <c r="B111">
        <v>10</v>
      </c>
      <c r="C111" t="s">
        <v>24</v>
      </c>
      <c r="D111">
        <v>61.262489318847599</v>
      </c>
      <c r="E111">
        <v>1.7319</v>
      </c>
      <c r="F111">
        <v>1.74</v>
      </c>
      <c r="G111">
        <v>0</v>
      </c>
      <c r="H111" t="s">
        <v>25</v>
      </c>
      <c r="I111">
        <v>96.203199999999995</v>
      </c>
      <c r="J111">
        <v>101.95</v>
      </c>
      <c r="K111">
        <v>-5.7467999999999897</v>
      </c>
      <c r="L111">
        <v>12</v>
      </c>
    </row>
    <row r="112" spans="1:23" x14ac:dyDescent="0.25">
      <c r="A112" t="s">
        <v>39</v>
      </c>
      <c r="B112">
        <v>11</v>
      </c>
      <c r="C112" t="s">
        <v>24</v>
      </c>
      <c r="D112">
        <v>63.006682157516401</v>
      </c>
      <c r="E112">
        <v>3.4638</v>
      </c>
      <c r="F112">
        <v>3.46</v>
      </c>
      <c r="G112">
        <v>0</v>
      </c>
      <c r="H112" t="s">
        <v>25</v>
      </c>
      <c r="I112">
        <v>99.663200000000003</v>
      </c>
      <c r="J112">
        <v>105.42</v>
      </c>
      <c r="K112">
        <v>-5.7567999999999797</v>
      </c>
      <c r="L112">
        <v>12</v>
      </c>
    </row>
    <row r="113" spans="1:12" x14ac:dyDescent="0.25">
      <c r="A113" t="s">
        <v>39</v>
      </c>
      <c r="B113">
        <v>12</v>
      </c>
      <c r="C113" t="s">
        <v>24</v>
      </c>
      <c r="D113">
        <v>70.574923992156897</v>
      </c>
      <c r="E113">
        <v>2.9619</v>
      </c>
      <c r="F113">
        <v>2.97</v>
      </c>
      <c r="G113">
        <v>0</v>
      </c>
      <c r="H113" t="s">
        <v>25</v>
      </c>
      <c r="I113">
        <v>100.72320000000001</v>
      </c>
      <c r="J113">
        <v>106.53</v>
      </c>
      <c r="K113">
        <v>-5.8067999999999804</v>
      </c>
      <c r="L113">
        <v>13</v>
      </c>
    </row>
    <row r="114" spans="1:12" x14ac:dyDescent="0.25">
      <c r="A114" t="s">
        <v>39</v>
      </c>
      <c r="B114">
        <v>13</v>
      </c>
      <c r="C114" t="s">
        <v>24</v>
      </c>
      <c r="D114">
        <v>75.260614156722994</v>
      </c>
      <c r="E114">
        <v>1.6689000000000001</v>
      </c>
      <c r="F114">
        <v>1.67</v>
      </c>
      <c r="G114">
        <v>0</v>
      </c>
      <c r="H114" t="s">
        <v>25</v>
      </c>
      <c r="I114">
        <v>100.7432</v>
      </c>
      <c r="J114">
        <v>106.59</v>
      </c>
      <c r="K114">
        <v>-5.8467999999999796</v>
      </c>
      <c r="L114">
        <v>15</v>
      </c>
    </row>
    <row r="115" spans="1:12" x14ac:dyDescent="0.25">
      <c r="A115" t="s">
        <v>39</v>
      </c>
      <c r="B115">
        <v>14</v>
      </c>
      <c r="C115" t="s">
        <v>24</v>
      </c>
      <c r="D115">
        <v>76.933292388916001</v>
      </c>
      <c r="E115">
        <v>3.3378000000000001</v>
      </c>
      <c r="F115">
        <v>3.33</v>
      </c>
      <c r="G115">
        <v>0</v>
      </c>
      <c r="H115" t="s">
        <v>25</v>
      </c>
      <c r="I115">
        <v>104.0732</v>
      </c>
      <c r="J115">
        <v>109.93</v>
      </c>
      <c r="K115">
        <v>-5.85679999999999</v>
      </c>
      <c r="L115">
        <v>15</v>
      </c>
    </row>
    <row r="116" spans="1:12" x14ac:dyDescent="0.25">
      <c r="A116" t="s">
        <v>39</v>
      </c>
      <c r="B116">
        <v>15</v>
      </c>
      <c r="C116" t="s">
        <v>24</v>
      </c>
      <c r="D116">
        <v>83.596398830413804</v>
      </c>
      <c r="E116">
        <v>1.79</v>
      </c>
      <c r="F116">
        <v>1.79</v>
      </c>
      <c r="G116">
        <v>0</v>
      </c>
      <c r="H116" t="s">
        <v>25</v>
      </c>
      <c r="I116">
        <v>105.58320000000001</v>
      </c>
      <c r="J116">
        <v>111.45</v>
      </c>
      <c r="K116">
        <v>-5.86679999999998</v>
      </c>
      <c r="L116">
        <v>14</v>
      </c>
    </row>
    <row r="117" spans="1:12" x14ac:dyDescent="0.25">
      <c r="A117" t="s">
        <v>39</v>
      </c>
      <c r="B117">
        <v>16</v>
      </c>
      <c r="C117" t="s">
        <v>24</v>
      </c>
      <c r="D117">
        <v>85.338198900222693</v>
      </c>
      <c r="E117">
        <v>3.58</v>
      </c>
      <c r="F117">
        <v>3.5799999999999899</v>
      </c>
      <c r="G117">
        <v>0</v>
      </c>
      <c r="H117" t="s">
        <v>25</v>
      </c>
      <c r="I117">
        <v>109.1632</v>
      </c>
      <c r="J117">
        <v>115.03</v>
      </c>
      <c r="K117">
        <v>-5.86679999999998</v>
      </c>
      <c r="L117">
        <v>14</v>
      </c>
    </row>
    <row r="118" spans="1:12" x14ac:dyDescent="0.25">
      <c r="A118" t="s">
        <v>39</v>
      </c>
      <c r="B118">
        <v>17</v>
      </c>
      <c r="C118" t="s">
        <v>24</v>
      </c>
      <c r="D118">
        <v>88.968629598617497</v>
      </c>
      <c r="E118">
        <v>7.16</v>
      </c>
      <c r="F118">
        <v>7.16</v>
      </c>
      <c r="G118">
        <v>0</v>
      </c>
      <c r="H118" t="s">
        <v>25</v>
      </c>
      <c r="I118">
        <v>116.3232</v>
      </c>
      <c r="J118">
        <v>122.19</v>
      </c>
      <c r="K118">
        <v>-5.86679999999998</v>
      </c>
      <c r="L118">
        <v>14</v>
      </c>
    </row>
    <row r="119" spans="1:12" x14ac:dyDescent="0.25">
      <c r="A119" t="s">
        <v>39</v>
      </c>
      <c r="B119">
        <v>18</v>
      </c>
      <c r="C119" t="s">
        <v>24</v>
      </c>
      <c r="D119">
        <v>101.135037660598</v>
      </c>
      <c r="E119">
        <v>1.7319</v>
      </c>
      <c r="F119">
        <v>1.74</v>
      </c>
      <c r="G119">
        <v>0</v>
      </c>
      <c r="H119" t="s">
        <v>25</v>
      </c>
      <c r="I119">
        <v>113.6032</v>
      </c>
      <c r="J119">
        <v>119.6</v>
      </c>
      <c r="K119">
        <v>-5.9967999999999702</v>
      </c>
      <c r="L119">
        <v>18</v>
      </c>
    </row>
    <row r="120" spans="1:12" x14ac:dyDescent="0.25">
      <c r="A120" t="s">
        <v>39</v>
      </c>
      <c r="B120">
        <v>19</v>
      </c>
      <c r="C120" t="s">
        <v>24</v>
      </c>
      <c r="D120">
        <v>102.86762881278899</v>
      </c>
      <c r="E120">
        <v>3.4638</v>
      </c>
      <c r="F120">
        <v>3.46</v>
      </c>
      <c r="G120">
        <v>0</v>
      </c>
      <c r="H120" t="s">
        <v>25</v>
      </c>
      <c r="I120">
        <v>117.06319999999999</v>
      </c>
      <c r="J120">
        <v>123.06</v>
      </c>
      <c r="K120">
        <v>-5.9967999999999897</v>
      </c>
      <c r="L120">
        <v>18</v>
      </c>
    </row>
    <row r="121" spans="1:12" x14ac:dyDescent="0.25">
      <c r="A121" t="s">
        <v>39</v>
      </c>
      <c r="B121">
        <v>20</v>
      </c>
      <c r="C121" t="s">
        <v>24</v>
      </c>
      <c r="D121">
        <v>106.38306474685599</v>
      </c>
      <c r="E121">
        <v>6.9276</v>
      </c>
      <c r="F121">
        <v>6.93</v>
      </c>
      <c r="G121">
        <v>0</v>
      </c>
      <c r="H121" t="s">
        <v>25</v>
      </c>
      <c r="I121">
        <v>123.99720000000001</v>
      </c>
      <c r="J121">
        <v>127.52</v>
      </c>
      <c r="K121">
        <v>-3.5227999999999802</v>
      </c>
      <c r="L121">
        <v>18</v>
      </c>
    </row>
    <row r="122" spans="1:12" x14ac:dyDescent="0.25">
      <c r="A122" t="s">
        <v>39</v>
      </c>
      <c r="B122">
        <v>21</v>
      </c>
      <c r="C122" t="s">
        <v>24</v>
      </c>
      <c r="D122">
        <v>113.291275978088</v>
      </c>
      <c r="E122">
        <v>6.9276</v>
      </c>
      <c r="F122">
        <v>6.92</v>
      </c>
      <c r="G122">
        <v>0</v>
      </c>
      <c r="H122" t="s">
        <v>25</v>
      </c>
      <c r="I122">
        <v>130.91720000000001</v>
      </c>
      <c r="J122">
        <v>133.32</v>
      </c>
      <c r="K122">
        <v>-2.4027999999999801</v>
      </c>
      <c r="L122">
        <v>18</v>
      </c>
    </row>
    <row r="123" spans="1:12" x14ac:dyDescent="0.25">
      <c r="A123" t="s">
        <v>39</v>
      </c>
      <c r="B123">
        <v>22</v>
      </c>
      <c r="C123" t="s">
        <v>24</v>
      </c>
      <c r="D123">
        <v>120.203710794448</v>
      </c>
      <c r="E123">
        <v>6.9276</v>
      </c>
      <c r="F123">
        <v>6.93</v>
      </c>
      <c r="G123">
        <v>0</v>
      </c>
      <c r="H123" t="s">
        <v>25</v>
      </c>
      <c r="I123">
        <v>137.84719999999999</v>
      </c>
      <c r="J123">
        <v>140.25</v>
      </c>
      <c r="K123">
        <v>-2.4028000000000098</v>
      </c>
      <c r="L123">
        <v>18</v>
      </c>
    </row>
    <row r="124" spans="1:12" x14ac:dyDescent="0.25">
      <c r="A124" t="s">
        <v>39</v>
      </c>
      <c r="B124">
        <v>23</v>
      </c>
      <c r="C124" t="s">
        <v>24</v>
      </c>
      <c r="D124">
        <v>127.733671426773</v>
      </c>
      <c r="E124">
        <v>2.9619</v>
      </c>
      <c r="F124">
        <v>2.97</v>
      </c>
      <c r="G124">
        <v>0</v>
      </c>
      <c r="H124" t="s">
        <v>25</v>
      </c>
      <c r="I124">
        <v>135.4572</v>
      </c>
      <c r="J124">
        <v>137.9</v>
      </c>
      <c r="K124">
        <v>-2.4428000000000001</v>
      </c>
      <c r="L124">
        <v>21</v>
      </c>
    </row>
    <row r="125" spans="1:12" x14ac:dyDescent="0.25">
      <c r="A125" t="s">
        <v>39</v>
      </c>
      <c r="B125">
        <v>24</v>
      </c>
      <c r="C125" t="s">
        <v>24</v>
      </c>
      <c r="D125">
        <v>132.783544778823</v>
      </c>
      <c r="E125">
        <v>1.7969999999999999</v>
      </c>
      <c r="F125">
        <v>1.7999999999999901</v>
      </c>
      <c r="G125">
        <v>0</v>
      </c>
      <c r="H125" t="s">
        <v>25</v>
      </c>
      <c r="I125">
        <v>135.717199999999</v>
      </c>
      <c r="J125">
        <v>138.18</v>
      </c>
      <c r="K125">
        <v>-2.4628000000000401</v>
      </c>
      <c r="L125">
        <v>23</v>
      </c>
    </row>
    <row r="126" spans="1:12" x14ac:dyDescent="0.25">
      <c r="A126" t="s">
        <v>39</v>
      </c>
      <c r="B126">
        <v>25</v>
      </c>
      <c r="C126" t="s">
        <v>24</v>
      </c>
      <c r="D126">
        <v>134.58973741531301</v>
      </c>
      <c r="E126">
        <v>3.5939999999999999</v>
      </c>
      <c r="F126">
        <v>3.59</v>
      </c>
      <c r="G126">
        <v>0</v>
      </c>
      <c r="H126" t="s">
        <v>25</v>
      </c>
      <c r="I126">
        <v>139.307199999999</v>
      </c>
      <c r="J126">
        <v>141.78</v>
      </c>
      <c r="K126">
        <v>-2.4728000000000301</v>
      </c>
      <c r="L126">
        <v>23</v>
      </c>
    </row>
    <row r="127" spans="1:12" x14ac:dyDescent="0.25">
      <c r="A127" t="s">
        <v>39</v>
      </c>
      <c r="B127">
        <v>26</v>
      </c>
      <c r="C127" t="s">
        <v>24</v>
      </c>
      <c r="D127">
        <v>138.18814468383701</v>
      </c>
      <c r="E127">
        <v>7.1879999999999997</v>
      </c>
      <c r="F127">
        <v>7.19</v>
      </c>
      <c r="G127">
        <v>0</v>
      </c>
      <c r="H127" t="s">
        <v>25</v>
      </c>
      <c r="I127">
        <v>146.49639999999999</v>
      </c>
      <c r="J127">
        <v>147.03</v>
      </c>
      <c r="K127">
        <v>-0.53360000000000696</v>
      </c>
      <c r="L127">
        <v>23</v>
      </c>
    </row>
    <row r="128" spans="1:12" x14ac:dyDescent="0.25">
      <c r="A128" t="s">
        <v>40</v>
      </c>
      <c r="B128">
        <v>1</v>
      </c>
      <c r="C128" t="s">
        <v>24</v>
      </c>
      <c r="D128">
        <v>4.0022132396697998</v>
      </c>
      <c r="E128">
        <v>1.9964999999999999</v>
      </c>
      <c r="F128">
        <v>2</v>
      </c>
      <c r="G128">
        <v>0</v>
      </c>
      <c r="H128" t="s">
        <v>25</v>
      </c>
      <c r="I128">
        <v>74.489999999999995</v>
      </c>
      <c r="J128">
        <v>74.53</v>
      </c>
      <c r="K128">
        <v>-3.9999999999992E-2</v>
      </c>
      <c r="L128">
        <v>2</v>
      </c>
    </row>
    <row r="129" spans="1:12" x14ac:dyDescent="0.25">
      <c r="A129" t="s">
        <v>40</v>
      </c>
      <c r="B129">
        <v>2</v>
      </c>
      <c r="C129" t="s">
        <v>24</v>
      </c>
      <c r="D129">
        <v>6.0224757194518999</v>
      </c>
      <c r="E129">
        <v>3.9929999999999999</v>
      </c>
      <c r="F129">
        <v>3.99</v>
      </c>
      <c r="G129">
        <v>0</v>
      </c>
      <c r="H129" t="s">
        <v>25</v>
      </c>
      <c r="I129">
        <v>78.48</v>
      </c>
      <c r="J129">
        <v>78.53</v>
      </c>
      <c r="K129">
        <v>-4.9999999999997102E-2</v>
      </c>
      <c r="L129">
        <v>2</v>
      </c>
    </row>
    <row r="130" spans="1:12" x14ac:dyDescent="0.25">
      <c r="A130" t="s">
        <v>40</v>
      </c>
      <c r="B130">
        <v>3</v>
      </c>
      <c r="C130" t="s">
        <v>24</v>
      </c>
      <c r="D130">
        <v>10.013967752456599</v>
      </c>
      <c r="E130">
        <v>7.9859999999999998</v>
      </c>
      <c r="F130">
        <v>7.9899999999999904</v>
      </c>
      <c r="G130">
        <v>0</v>
      </c>
      <c r="H130" t="s">
        <v>25</v>
      </c>
      <c r="I130">
        <v>86.469200000000001</v>
      </c>
      <c r="J130">
        <v>83.17</v>
      </c>
      <c r="K130">
        <v>3.2991999999999901</v>
      </c>
      <c r="L130">
        <v>2</v>
      </c>
    </row>
    <row r="131" spans="1:12" x14ac:dyDescent="0.25">
      <c r="A131" t="s">
        <v>40</v>
      </c>
      <c r="B131">
        <v>4</v>
      </c>
      <c r="C131" t="s">
        <v>24</v>
      </c>
      <c r="D131">
        <v>17.985092639923</v>
      </c>
      <c r="E131">
        <v>7.9859999999999998</v>
      </c>
      <c r="F131">
        <v>7.98</v>
      </c>
      <c r="G131">
        <v>0</v>
      </c>
      <c r="H131" t="s">
        <v>25</v>
      </c>
      <c r="I131">
        <v>94.449200000000005</v>
      </c>
      <c r="J131">
        <v>90.88</v>
      </c>
      <c r="K131">
        <v>3.5692000000000199</v>
      </c>
      <c r="L131">
        <v>2</v>
      </c>
    </row>
    <row r="132" spans="1:12" x14ac:dyDescent="0.25">
      <c r="A132" t="s">
        <v>40</v>
      </c>
      <c r="B132">
        <v>5</v>
      </c>
      <c r="C132" t="s">
        <v>24</v>
      </c>
      <c r="D132">
        <v>30.8285262584686</v>
      </c>
      <c r="E132">
        <v>2.9619</v>
      </c>
      <c r="F132">
        <v>2.97</v>
      </c>
      <c r="G132">
        <v>0</v>
      </c>
      <c r="H132" t="s">
        <v>25</v>
      </c>
      <c r="I132">
        <v>96.279200000000003</v>
      </c>
      <c r="J132">
        <v>92.76</v>
      </c>
      <c r="K132">
        <v>3.5192000000000099</v>
      </c>
      <c r="L132">
        <v>5</v>
      </c>
    </row>
    <row r="133" spans="1:12" x14ac:dyDescent="0.25">
      <c r="A133" t="s">
        <v>40</v>
      </c>
      <c r="B133">
        <v>6</v>
      </c>
      <c r="C133" t="s">
        <v>24</v>
      </c>
      <c r="D133">
        <v>39.059389591216998</v>
      </c>
      <c r="E133">
        <v>1.7319</v>
      </c>
      <c r="F133">
        <v>1.74</v>
      </c>
      <c r="G133">
        <v>0</v>
      </c>
      <c r="H133" t="s">
        <v>25</v>
      </c>
      <c r="I133">
        <v>96.149199999999993</v>
      </c>
      <c r="J133">
        <v>92.68</v>
      </c>
      <c r="K133">
        <v>3.4692000000000101</v>
      </c>
      <c r="L133">
        <v>6</v>
      </c>
    </row>
    <row r="134" spans="1:12" x14ac:dyDescent="0.25">
      <c r="A134" t="s">
        <v>40</v>
      </c>
      <c r="B134">
        <v>7</v>
      </c>
      <c r="C134" t="s">
        <v>24</v>
      </c>
      <c r="D134">
        <v>40.7826182842254</v>
      </c>
      <c r="E134">
        <v>3.4638</v>
      </c>
      <c r="F134">
        <v>3.46</v>
      </c>
      <c r="G134">
        <v>0</v>
      </c>
      <c r="H134" t="s">
        <v>25</v>
      </c>
      <c r="I134">
        <v>99.609200000000001</v>
      </c>
      <c r="J134">
        <v>96.14</v>
      </c>
      <c r="K134">
        <v>3.4692000000000101</v>
      </c>
      <c r="L134">
        <v>6</v>
      </c>
    </row>
    <row r="135" spans="1:12" x14ac:dyDescent="0.25">
      <c r="A135" t="s">
        <v>40</v>
      </c>
      <c r="B135">
        <v>8</v>
      </c>
      <c r="C135" t="s">
        <v>24</v>
      </c>
      <c r="D135">
        <v>44.2415931224823</v>
      </c>
      <c r="E135">
        <v>6.9276</v>
      </c>
      <c r="F135">
        <v>6.93</v>
      </c>
      <c r="G135">
        <v>0</v>
      </c>
      <c r="H135" t="s">
        <v>25</v>
      </c>
      <c r="I135">
        <v>106.53919999999999</v>
      </c>
      <c r="J135">
        <v>103.07</v>
      </c>
      <c r="K135">
        <v>3.4692000000000101</v>
      </c>
      <c r="L135">
        <v>6</v>
      </c>
    </row>
    <row r="136" spans="1:12" x14ac:dyDescent="0.25">
      <c r="A136" t="s">
        <v>40</v>
      </c>
      <c r="B136">
        <v>9</v>
      </c>
      <c r="C136" t="s">
        <v>24</v>
      </c>
      <c r="D136">
        <v>51.152787923812802</v>
      </c>
      <c r="E136">
        <v>6.9276</v>
      </c>
      <c r="F136">
        <v>6.92</v>
      </c>
      <c r="G136">
        <v>0</v>
      </c>
      <c r="H136" t="s">
        <v>25</v>
      </c>
      <c r="I136">
        <v>113.4592</v>
      </c>
      <c r="J136">
        <v>110</v>
      </c>
      <c r="K136">
        <v>3.4592000000000098</v>
      </c>
      <c r="L136">
        <v>6</v>
      </c>
    </row>
    <row r="137" spans="1:12" x14ac:dyDescent="0.25">
      <c r="A137" t="s">
        <v>40</v>
      </c>
      <c r="B137">
        <v>10</v>
      </c>
      <c r="C137" t="s">
        <v>24</v>
      </c>
      <c r="D137">
        <v>58.309242010116499</v>
      </c>
      <c r="E137">
        <v>2.9619</v>
      </c>
      <c r="F137">
        <v>2.97</v>
      </c>
      <c r="G137">
        <v>0</v>
      </c>
      <c r="H137" t="s">
        <v>25</v>
      </c>
      <c r="I137">
        <v>110.6592</v>
      </c>
      <c r="J137">
        <v>107.26</v>
      </c>
      <c r="K137">
        <v>3.3992</v>
      </c>
      <c r="L137">
        <v>9</v>
      </c>
    </row>
    <row r="138" spans="1:12" x14ac:dyDescent="0.25">
      <c r="A138" t="s">
        <v>40</v>
      </c>
      <c r="B138">
        <v>11</v>
      </c>
      <c r="C138" t="s">
        <v>24</v>
      </c>
      <c r="D138">
        <v>61.2592194080352</v>
      </c>
      <c r="E138">
        <v>5.9238</v>
      </c>
      <c r="F138">
        <v>5.92</v>
      </c>
      <c r="G138">
        <v>0</v>
      </c>
      <c r="H138" t="s">
        <v>25</v>
      </c>
      <c r="I138">
        <v>116.5792</v>
      </c>
      <c r="J138">
        <v>113.19</v>
      </c>
      <c r="K138">
        <v>3.38920000000001</v>
      </c>
      <c r="L138">
        <v>9</v>
      </c>
    </row>
    <row r="139" spans="1:12" x14ac:dyDescent="0.25">
      <c r="A139" t="s">
        <v>40</v>
      </c>
      <c r="B139">
        <v>12</v>
      </c>
      <c r="C139" t="s">
        <v>24</v>
      </c>
      <c r="D139">
        <v>67.185876607894897</v>
      </c>
      <c r="E139">
        <v>11.8476</v>
      </c>
      <c r="F139">
        <v>11.85</v>
      </c>
      <c r="G139">
        <v>0</v>
      </c>
      <c r="H139" t="s">
        <v>25</v>
      </c>
      <c r="I139">
        <v>128.42920000000001</v>
      </c>
      <c r="J139">
        <v>125.03</v>
      </c>
      <c r="K139">
        <v>3.3992</v>
      </c>
      <c r="L139">
        <v>9</v>
      </c>
    </row>
    <row r="140" spans="1:12" x14ac:dyDescent="0.25">
      <c r="A140" t="s">
        <v>40</v>
      </c>
      <c r="B140">
        <v>13</v>
      </c>
      <c r="C140" t="s">
        <v>24</v>
      </c>
      <c r="D140">
        <v>79.059442520141602</v>
      </c>
      <c r="E140">
        <v>11.8476</v>
      </c>
      <c r="F140">
        <v>11.84</v>
      </c>
      <c r="G140">
        <v>0</v>
      </c>
      <c r="H140" t="s">
        <v>25</v>
      </c>
      <c r="I140">
        <v>140.26920000000001</v>
      </c>
      <c r="J140">
        <v>136.88</v>
      </c>
      <c r="K140">
        <v>3.38920000000001</v>
      </c>
      <c r="L140">
        <v>9</v>
      </c>
    </row>
    <row r="141" spans="1:12" x14ac:dyDescent="0.25">
      <c r="A141" t="s">
        <v>40</v>
      </c>
      <c r="B141">
        <v>14</v>
      </c>
      <c r="C141" t="s">
        <v>24</v>
      </c>
      <c r="D141">
        <v>89.655857086181598</v>
      </c>
      <c r="E141">
        <v>1.7319</v>
      </c>
      <c r="F141">
        <v>1.74</v>
      </c>
      <c r="G141">
        <v>0</v>
      </c>
      <c r="H141" t="s">
        <v>25</v>
      </c>
      <c r="I141">
        <v>137.26920000000001</v>
      </c>
      <c r="J141">
        <v>133.9</v>
      </c>
      <c r="K141">
        <v>3.3692000000000002</v>
      </c>
      <c r="L141">
        <v>12</v>
      </c>
    </row>
    <row r="142" spans="1:12" x14ac:dyDescent="0.25">
      <c r="A142" t="s">
        <v>40</v>
      </c>
      <c r="B142">
        <v>15</v>
      </c>
      <c r="C142" t="s">
        <v>24</v>
      </c>
      <c r="D142">
        <v>91.406885862350407</v>
      </c>
      <c r="E142">
        <v>3.4638</v>
      </c>
      <c r="F142">
        <v>3.46</v>
      </c>
      <c r="G142">
        <v>0</v>
      </c>
      <c r="H142" t="s">
        <v>25</v>
      </c>
      <c r="I142">
        <v>140.72919999999999</v>
      </c>
      <c r="J142">
        <v>137.36000000000001</v>
      </c>
      <c r="K142">
        <v>3.36919999999997</v>
      </c>
      <c r="L142">
        <v>12</v>
      </c>
    </row>
    <row r="143" spans="1:12" x14ac:dyDescent="0.25">
      <c r="A143" t="s">
        <v>40</v>
      </c>
      <c r="B143">
        <v>16</v>
      </c>
      <c r="C143" t="s">
        <v>24</v>
      </c>
      <c r="D143">
        <v>95.772977113723698</v>
      </c>
      <c r="E143">
        <v>1.7969999999999999</v>
      </c>
      <c r="F143">
        <v>1.7999999999999901</v>
      </c>
      <c r="G143">
        <v>0</v>
      </c>
      <c r="H143" t="s">
        <v>25</v>
      </c>
      <c r="I143">
        <v>139.78919999999999</v>
      </c>
      <c r="J143">
        <v>136.46</v>
      </c>
      <c r="K143">
        <v>3.3291999999999802</v>
      </c>
      <c r="L143">
        <v>10</v>
      </c>
    </row>
    <row r="144" spans="1:12" x14ac:dyDescent="0.25">
      <c r="A144" t="s">
        <v>40</v>
      </c>
      <c r="B144">
        <v>17</v>
      </c>
      <c r="C144" t="s">
        <v>24</v>
      </c>
      <c r="D144">
        <v>105.02018570899899</v>
      </c>
      <c r="E144">
        <v>1.6689000000000001</v>
      </c>
      <c r="F144">
        <v>1.67</v>
      </c>
      <c r="G144">
        <v>0</v>
      </c>
      <c r="H144" t="s">
        <v>25</v>
      </c>
      <c r="I144">
        <v>139.58920000000001</v>
      </c>
      <c r="J144">
        <v>136.37</v>
      </c>
      <c r="K144">
        <v>3.2191999999999998</v>
      </c>
      <c r="L144">
        <v>15</v>
      </c>
    </row>
    <row r="145" spans="1:12" x14ac:dyDescent="0.25">
      <c r="A145" t="s">
        <v>40</v>
      </c>
      <c r="B145">
        <v>18</v>
      </c>
      <c r="C145" t="s">
        <v>24</v>
      </c>
      <c r="D145">
        <v>109.269909858703</v>
      </c>
      <c r="E145">
        <v>1.79</v>
      </c>
      <c r="F145">
        <v>1.79</v>
      </c>
      <c r="G145">
        <v>0</v>
      </c>
      <c r="H145" t="s">
        <v>25</v>
      </c>
      <c r="I145">
        <v>140.35919999999999</v>
      </c>
      <c r="J145">
        <v>137.16999999999999</v>
      </c>
      <c r="K145">
        <v>3.1891999999999898</v>
      </c>
      <c r="L145">
        <v>14</v>
      </c>
    </row>
    <row r="146" spans="1:12" x14ac:dyDescent="0.25">
      <c r="A146" t="s">
        <v>40</v>
      </c>
      <c r="B146">
        <v>19</v>
      </c>
      <c r="C146" t="s">
        <v>24</v>
      </c>
      <c r="D146">
        <v>111.10882067680301</v>
      </c>
      <c r="E146">
        <v>3.58</v>
      </c>
      <c r="F146">
        <v>3.5799999999999899</v>
      </c>
      <c r="G146">
        <v>0</v>
      </c>
      <c r="H146" t="s">
        <v>25</v>
      </c>
      <c r="I146">
        <v>143.939199999999</v>
      </c>
      <c r="J146">
        <v>140.75</v>
      </c>
      <c r="K146">
        <v>3.1891999999999698</v>
      </c>
      <c r="L146">
        <v>14</v>
      </c>
    </row>
    <row r="147" spans="1:12" x14ac:dyDescent="0.25">
      <c r="A147" t="s">
        <v>40</v>
      </c>
      <c r="B147">
        <v>20</v>
      </c>
      <c r="C147" t="s">
        <v>24</v>
      </c>
      <c r="D147">
        <v>114.66752457618701</v>
      </c>
      <c r="E147">
        <v>7.16</v>
      </c>
      <c r="F147">
        <v>7.16</v>
      </c>
      <c r="G147">
        <v>0</v>
      </c>
      <c r="H147" t="s">
        <v>25</v>
      </c>
      <c r="I147">
        <v>151.0992</v>
      </c>
      <c r="J147">
        <v>147.91</v>
      </c>
      <c r="K147">
        <v>3.1891999999999898</v>
      </c>
      <c r="L147">
        <v>14</v>
      </c>
    </row>
    <row r="148" spans="1:12" x14ac:dyDescent="0.25">
      <c r="A148" t="s">
        <v>40</v>
      </c>
      <c r="B148">
        <v>21</v>
      </c>
      <c r="C148" t="s">
        <v>24</v>
      </c>
      <c r="D148">
        <v>121.81121468544001</v>
      </c>
      <c r="E148">
        <v>7.16</v>
      </c>
      <c r="F148">
        <v>7.16</v>
      </c>
      <c r="G148">
        <v>0</v>
      </c>
      <c r="H148" t="s">
        <v>25</v>
      </c>
      <c r="I148">
        <v>158.25919999999999</v>
      </c>
      <c r="J148">
        <v>155.07</v>
      </c>
      <c r="K148">
        <v>3.1891999999999898</v>
      </c>
      <c r="L148">
        <v>14</v>
      </c>
    </row>
    <row r="149" spans="1:12" x14ac:dyDescent="0.25">
      <c r="A149" t="s">
        <v>40</v>
      </c>
      <c r="B149">
        <v>22</v>
      </c>
      <c r="C149" t="s">
        <v>24</v>
      </c>
      <c r="D149">
        <v>129.01110458374001</v>
      </c>
      <c r="E149">
        <v>7.16</v>
      </c>
      <c r="F149">
        <v>7.16</v>
      </c>
      <c r="G149">
        <v>0</v>
      </c>
      <c r="H149" t="s">
        <v>25</v>
      </c>
      <c r="I149">
        <v>165.41919999999999</v>
      </c>
      <c r="J149">
        <v>162.22999999999999</v>
      </c>
      <c r="K149">
        <v>3.1891999999999898</v>
      </c>
      <c r="L149">
        <v>14</v>
      </c>
    </row>
    <row r="150" spans="1:12" x14ac:dyDescent="0.25">
      <c r="A150" t="s">
        <v>40</v>
      </c>
      <c r="B150">
        <v>23</v>
      </c>
      <c r="C150" t="s">
        <v>24</v>
      </c>
      <c r="D150">
        <v>136.17378520965499</v>
      </c>
      <c r="E150">
        <v>7.16</v>
      </c>
      <c r="F150">
        <v>7.16</v>
      </c>
      <c r="G150">
        <v>0</v>
      </c>
      <c r="H150" t="s">
        <v>25</v>
      </c>
      <c r="I150">
        <v>172.57919999999999</v>
      </c>
      <c r="J150">
        <v>169.39</v>
      </c>
      <c r="K150">
        <v>3.1891999999999898</v>
      </c>
      <c r="L150">
        <v>14</v>
      </c>
    </row>
    <row r="151" spans="1:12" x14ac:dyDescent="0.25">
      <c r="A151" t="s">
        <v>40</v>
      </c>
      <c r="B151">
        <v>24</v>
      </c>
      <c r="C151" t="s">
        <v>24</v>
      </c>
      <c r="D151">
        <v>143.36115860939</v>
      </c>
      <c r="E151">
        <v>2.9619</v>
      </c>
      <c r="F151">
        <v>2.97</v>
      </c>
      <c r="G151">
        <v>0</v>
      </c>
      <c r="H151" t="s">
        <v>25</v>
      </c>
      <c r="I151">
        <v>169.6292</v>
      </c>
      <c r="J151">
        <v>166.5</v>
      </c>
      <c r="K151">
        <v>3.12920000000002</v>
      </c>
      <c r="L151">
        <v>17</v>
      </c>
    </row>
    <row r="152" spans="1:12" x14ac:dyDescent="0.25">
      <c r="A152" t="s">
        <v>40</v>
      </c>
      <c r="B152">
        <v>25</v>
      </c>
      <c r="C152" t="s">
        <v>24</v>
      </c>
      <c r="D152">
        <v>148.10959362983701</v>
      </c>
      <c r="E152">
        <v>1.7319</v>
      </c>
      <c r="F152">
        <v>1.74</v>
      </c>
      <c r="G152">
        <v>0</v>
      </c>
      <c r="H152" t="s">
        <v>25</v>
      </c>
      <c r="I152">
        <v>169.64919999999901</v>
      </c>
      <c r="J152">
        <v>166.55</v>
      </c>
      <c r="K152">
        <v>3.0991999999999602</v>
      </c>
      <c r="L152">
        <v>18</v>
      </c>
    </row>
    <row r="153" spans="1:12" x14ac:dyDescent="0.25">
      <c r="A153" t="s">
        <v>40</v>
      </c>
      <c r="B153">
        <v>26</v>
      </c>
      <c r="C153" t="s">
        <v>24</v>
      </c>
      <c r="D153">
        <v>161.70447754859899</v>
      </c>
      <c r="E153">
        <v>1.8096000000000001</v>
      </c>
      <c r="F153">
        <v>1.8099999999999901</v>
      </c>
      <c r="G153">
        <v>0</v>
      </c>
      <c r="H153" t="s">
        <v>25</v>
      </c>
      <c r="I153">
        <v>170.0592</v>
      </c>
      <c r="J153">
        <v>167.1</v>
      </c>
      <c r="K153">
        <v>2.9592000000000098</v>
      </c>
      <c r="L153">
        <v>22</v>
      </c>
    </row>
    <row r="154" spans="1:12" x14ac:dyDescent="0.25">
      <c r="A154" t="s">
        <v>40</v>
      </c>
      <c r="B154">
        <v>27</v>
      </c>
      <c r="C154" t="s">
        <v>24</v>
      </c>
      <c r="D154">
        <v>163.530735015869</v>
      </c>
      <c r="E154">
        <v>3.6192000000000002</v>
      </c>
      <c r="F154">
        <v>3.62</v>
      </c>
      <c r="G154">
        <v>0</v>
      </c>
      <c r="H154" t="s">
        <v>25</v>
      </c>
      <c r="I154">
        <v>173.67920000000001</v>
      </c>
      <c r="J154">
        <v>170.72</v>
      </c>
      <c r="K154">
        <v>2.9592000000000098</v>
      </c>
      <c r="L154">
        <v>22</v>
      </c>
    </row>
    <row r="155" spans="1:12" x14ac:dyDescent="0.25">
      <c r="A155" t="s">
        <v>41</v>
      </c>
      <c r="B155">
        <v>1</v>
      </c>
      <c r="C155" t="s">
        <v>24</v>
      </c>
      <c r="D155">
        <v>4.0351850986480704</v>
      </c>
      <c r="E155">
        <v>1.9964999999999999</v>
      </c>
      <c r="F155">
        <v>2</v>
      </c>
      <c r="G155">
        <v>0</v>
      </c>
      <c r="H155" t="s">
        <v>25</v>
      </c>
      <c r="I155">
        <v>74.489999999999995</v>
      </c>
      <c r="J155">
        <v>74.53</v>
      </c>
      <c r="K155">
        <v>-3.9999999999992E-2</v>
      </c>
      <c r="L155">
        <v>2</v>
      </c>
    </row>
    <row r="156" spans="1:12" x14ac:dyDescent="0.25">
      <c r="A156" t="s">
        <v>41</v>
      </c>
      <c r="B156">
        <v>2</v>
      </c>
      <c r="C156" t="s">
        <v>24</v>
      </c>
      <c r="D156">
        <v>6.0713908672332701</v>
      </c>
      <c r="E156">
        <v>3.9929999999999999</v>
      </c>
      <c r="F156">
        <v>3.99</v>
      </c>
      <c r="G156">
        <v>0</v>
      </c>
      <c r="H156" t="s">
        <v>25</v>
      </c>
      <c r="I156">
        <v>78.48</v>
      </c>
      <c r="J156">
        <v>78.53</v>
      </c>
      <c r="K156">
        <v>-4.9999999999997102E-2</v>
      </c>
      <c r="L156">
        <v>2</v>
      </c>
    </row>
    <row r="157" spans="1:12" x14ac:dyDescent="0.25">
      <c r="A157" t="s">
        <v>41</v>
      </c>
      <c r="B157">
        <v>3</v>
      </c>
      <c r="C157" t="s">
        <v>24</v>
      </c>
      <c r="D157">
        <v>10.0331494808197</v>
      </c>
      <c r="E157">
        <v>7.9859999999999998</v>
      </c>
      <c r="F157">
        <v>7.9899999999999904</v>
      </c>
      <c r="G157">
        <v>0</v>
      </c>
      <c r="H157" t="s">
        <v>25</v>
      </c>
      <c r="I157">
        <v>86.469200000000001</v>
      </c>
      <c r="J157">
        <v>83.19</v>
      </c>
      <c r="K157">
        <v>3.2792000000000101</v>
      </c>
      <c r="L157">
        <v>2</v>
      </c>
    </row>
    <row r="158" spans="1:12" x14ac:dyDescent="0.25">
      <c r="A158" t="s">
        <v>41</v>
      </c>
      <c r="B158">
        <v>4</v>
      </c>
      <c r="C158" t="s">
        <v>24</v>
      </c>
      <c r="D158">
        <v>17.970889568328801</v>
      </c>
      <c r="E158">
        <v>7.9859999999999998</v>
      </c>
      <c r="F158">
        <v>7.98</v>
      </c>
      <c r="G158">
        <v>0</v>
      </c>
      <c r="H158" t="s">
        <v>25</v>
      </c>
      <c r="I158">
        <v>94.449200000000005</v>
      </c>
      <c r="J158">
        <v>90.88</v>
      </c>
      <c r="K158">
        <v>3.5692000000000199</v>
      </c>
      <c r="L158">
        <v>2</v>
      </c>
    </row>
    <row r="159" spans="1:12" x14ac:dyDescent="0.25">
      <c r="A159" t="s">
        <v>41</v>
      </c>
      <c r="B159">
        <v>5</v>
      </c>
      <c r="C159" t="s">
        <v>24</v>
      </c>
      <c r="D159">
        <v>31.853379249572701</v>
      </c>
      <c r="E159">
        <v>1.7319</v>
      </c>
      <c r="F159">
        <v>1.74</v>
      </c>
      <c r="G159">
        <v>0</v>
      </c>
      <c r="H159" t="s">
        <v>25</v>
      </c>
      <c r="I159">
        <v>92.549199999999999</v>
      </c>
      <c r="J159">
        <v>89.05</v>
      </c>
      <c r="K159">
        <v>3.4992000000000099</v>
      </c>
      <c r="L159">
        <v>6</v>
      </c>
    </row>
    <row r="160" spans="1:12" x14ac:dyDescent="0.25">
      <c r="A160" t="s">
        <v>41</v>
      </c>
      <c r="B160">
        <v>6</v>
      </c>
      <c r="C160" t="s">
        <v>24</v>
      </c>
      <c r="D160">
        <v>44.918271303176802</v>
      </c>
      <c r="E160">
        <v>1.7969999999999999</v>
      </c>
      <c r="F160">
        <v>1.7999999999999901</v>
      </c>
      <c r="G160">
        <v>0</v>
      </c>
      <c r="H160" t="s">
        <v>25</v>
      </c>
      <c r="I160">
        <v>92.489199999999997</v>
      </c>
      <c r="J160">
        <v>89.08</v>
      </c>
      <c r="K160">
        <v>3.40920000000001</v>
      </c>
      <c r="L160">
        <v>10</v>
      </c>
    </row>
    <row r="161" spans="1:12" x14ac:dyDescent="0.25">
      <c r="A161" t="s">
        <v>41</v>
      </c>
      <c r="B161">
        <v>7</v>
      </c>
      <c r="C161" t="s">
        <v>24</v>
      </c>
      <c r="D161">
        <v>55.9565558433532</v>
      </c>
      <c r="E161">
        <v>1.79</v>
      </c>
      <c r="F161">
        <v>1.79</v>
      </c>
      <c r="G161">
        <v>0</v>
      </c>
      <c r="H161" t="s">
        <v>25</v>
      </c>
      <c r="I161">
        <v>90.4392</v>
      </c>
      <c r="J161">
        <v>87.15</v>
      </c>
      <c r="K161">
        <v>3.2891999999999899</v>
      </c>
      <c r="L161">
        <v>14</v>
      </c>
    </row>
    <row r="162" spans="1:12" x14ac:dyDescent="0.25">
      <c r="A162" t="s">
        <v>41</v>
      </c>
      <c r="B162">
        <v>8</v>
      </c>
      <c r="C162" t="s">
        <v>24</v>
      </c>
      <c r="D162">
        <v>57.714659452438298</v>
      </c>
      <c r="E162">
        <v>3.58</v>
      </c>
      <c r="F162">
        <v>3.5799999999999899</v>
      </c>
      <c r="G162">
        <v>0</v>
      </c>
      <c r="H162" t="s">
        <v>25</v>
      </c>
      <c r="I162">
        <v>94.019199999999998</v>
      </c>
      <c r="J162">
        <v>90.73</v>
      </c>
      <c r="K162">
        <v>3.2892000000000001</v>
      </c>
      <c r="L162">
        <v>14</v>
      </c>
    </row>
    <row r="163" spans="1:12" x14ac:dyDescent="0.25">
      <c r="A163" t="s">
        <v>41</v>
      </c>
      <c r="B163">
        <v>9</v>
      </c>
      <c r="C163" t="s">
        <v>24</v>
      </c>
      <c r="D163">
        <v>68.756451368331895</v>
      </c>
      <c r="E163">
        <v>1.7319</v>
      </c>
      <c r="F163">
        <v>1.74</v>
      </c>
      <c r="G163">
        <v>0</v>
      </c>
      <c r="H163" t="s">
        <v>25</v>
      </c>
      <c r="I163">
        <v>90.339200000000005</v>
      </c>
      <c r="J163">
        <v>87.19</v>
      </c>
      <c r="K163">
        <v>3.14920000000002</v>
      </c>
      <c r="L163">
        <v>18</v>
      </c>
    </row>
    <row r="164" spans="1:12" x14ac:dyDescent="0.25">
      <c r="A164" t="s">
        <v>41</v>
      </c>
      <c r="B164">
        <v>10</v>
      </c>
      <c r="C164" t="s">
        <v>24</v>
      </c>
      <c r="D164">
        <v>70.487421751022296</v>
      </c>
      <c r="E164">
        <v>3.4638</v>
      </c>
      <c r="F164">
        <v>3.46</v>
      </c>
      <c r="G164">
        <v>0</v>
      </c>
      <c r="H164" t="s">
        <v>25</v>
      </c>
      <c r="I164">
        <v>93.799199999999999</v>
      </c>
      <c r="J164">
        <v>90.66</v>
      </c>
      <c r="K164">
        <v>3.13920000000001</v>
      </c>
      <c r="L164">
        <v>18</v>
      </c>
    </row>
    <row r="165" spans="1:12" x14ac:dyDescent="0.25">
      <c r="A165" t="s">
        <v>42</v>
      </c>
      <c r="B165">
        <v>1</v>
      </c>
      <c r="C165" t="s">
        <v>24</v>
      </c>
      <c r="D165">
        <v>27.127478599548301</v>
      </c>
      <c r="E165">
        <v>1.7969999999999999</v>
      </c>
      <c r="F165">
        <v>1.7999999999999901</v>
      </c>
      <c r="G165">
        <v>0</v>
      </c>
      <c r="H165" t="s">
        <v>25</v>
      </c>
      <c r="I165">
        <v>71.13</v>
      </c>
      <c r="J165">
        <v>71.34</v>
      </c>
      <c r="K165">
        <v>-0.209999999999993</v>
      </c>
      <c r="L165">
        <v>10</v>
      </c>
    </row>
    <row r="166" spans="1:12" x14ac:dyDescent="0.25">
      <c r="A166" t="s">
        <v>42</v>
      </c>
      <c r="B166">
        <v>2</v>
      </c>
      <c r="C166" t="s">
        <v>24</v>
      </c>
      <c r="D166">
        <v>28.9486019611358</v>
      </c>
      <c r="E166">
        <v>3.5939999999999999</v>
      </c>
      <c r="F166">
        <v>3.59</v>
      </c>
      <c r="G166">
        <v>0</v>
      </c>
      <c r="H166" t="s">
        <v>25</v>
      </c>
      <c r="I166">
        <v>74.72</v>
      </c>
      <c r="J166">
        <v>74.94</v>
      </c>
      <c r="K166">
        <v>-0.21999999999998399</v>
      </c>
      <c r="L166">
        <v>10</v>
      </c>
    </row>
    <row r="167" spans="1:12" x14ac:dyDescent="0.25">
      <c r="A167" t="s">
        <v>42</v>
      </c>
      <c r="B167">
        <v>3</v>
      </c>
      <c r="C167" t="s">
        <v>24</v>
      </c>
      <c r="D167">
        <v>32.547849655151303</v>
      </c>
      <c r="E167">
        <v>7.1879999999999997</v>
      </c>
      <c r="F167">
        <v>7.19</v>
      </c>
      <c r="G167">
        <v>0</v>
      </c>
      <c r="H167" t="s">
        <v>25</v>
      </c>
      <c r="I167">
        <v>81.913799999999995</v>
      </c>
      <c r="J167">
        <v>79.790000000000006</v>
      </c>
      <c r="K167">
        <v>2.1238000000000001</v>
      </c>
      <c r="L167">
        <v>10</v>
      </c>
    </row>
    <row r="168" spans="1:12" x14ac:dyDescent="0.25">
      <c r="A168" t="s">
        <v>42</v>
      </c>
      <c r="B168">
        <v>4</v>
      </c>
      <c r="C168" t="s">
        <v>24</v>
      </c>
      <c r="D168">
        <v>47.967248201370197</v>
      </c>
      <c r="E168">
        <v>2.9619</v>
      </c>
      <c r="F168">
        <v>2.97</v>
      </c>
      <c r="G168">
        <v>0</v>
      </c>
      <c r="H168" t="s">
        <v>25</v>
      </c>
      <c r="I168">
        <v>83.883799999999994</v>
      </c>
      <c r="J168">
        <v>83.88</v>
      </c>
      <c r="K168">
        <v>3.8000000000124601E-3</v>
      </c>
      <c r="L168">
        <v>13</v>
      </c>
    </row>
    <row r="169" spans="1:12" x14ac:dyDescent="0.25">
      <c r="A169" t="s">
        <v>42</v>
      </c>
      <c r="B169">
        <v>5</v>
      </c>
      <c r="C169" t="s">
        <v>24</v>
      </c>
      <c r="D169">
        <v>50.8577816486358</v>
      </c>
      <c r="E169">
        <v>5.9238</v>
      </c>
      <c r="F169">
        <v>5.92</v>
      </c>
      <c r="G169">
        <v>0</v>
      </c>
      <c r="H169" t="s">
        <v>25</v>
      </c>
      <c r="I169">
        <v>89.803799999999995</v>
      </c>
      <c r="J169">
        <v>89.81</v>
      </c>
      <c r="K169">
        <v>-6.1999999999926498E-3</v>
      </c>
      <c r="L169">
        <v>13</v>
      </c>
    </row>
    <row r="170" spans="1:12" x14ac:dyDescent="0.25">
      <c r="A170" t="s">
        <v>42</v>
      </c>
      <c r="B170">
        <v>6</v>
      </c>
      <c r="C170" t="s">
        <v>24</v>
      </c>
      <c r="D170">
        <v>61.350634813308702</v>
      </c>
      <c r="E170">
        <v>1.6689000000000001</v>
      </c>
      <c r="F170">
        <v>1.67</v>
      </c>
      <c r="G170">
        <v>0</v>
      </c>
      <c r="H170" t="s">
        <v>25</v>
      </c>
      <c r="I170">
        <v>88.993799999999993</v>
      </c>
      <c r="J170">
        <v>89.08</v>
      </c>
      <c r="K170">
        <v>-8.6199999999990895E-2</v>
      </c>
      <c r="L170">
        <v>15</v>
      </c>
    </row>
    <row r="171" spans="1:12" x14ac:dyDescent="0.25">
      <c r="A171" t="s">
        <v>42</v>
      </c>
      <c r="B171">
        <v>7</v>
      </c>
      <c r="C171" t="s">
        <v>24</v>
      </c>
      <c r="D171">
        <v>63.0190589427948</v>
      </c>
      <c r="E171">
        <v>3.3378000000000001</v>
      </c>
      <c r="F171">
        <v>3.33</v>
      </c>
      <c r="G171">
        <v>0</v>
      </c>
      <c r="H171" t="s">
        <v>25</v>
      </c>
      <c r="I171">
        <v>92.323800000000006</v>
      </c>
      <c r="J171">
        <v>92.42</v>
      </c>
      <c r="K171">
        <v>-9.6199999999995997E-2</v>
      </c>
      <c r="L171">
        <v>15</v>
      </c>
    </row>
    <row r="172" spans="1:12" x14ac:dyDescent="0.25">
      <c r="A172" t="s">
        <v>42</v>
      </c>
      <c r="B172">
        <v>8</v>
      </c>
      <c r="C172" t="s">
        <v>24</v>
      </c>
      <c r="D172">
        <v>72.119073629379201</v>
      </c>
      <c r="E172">
        <v>1.7319</v>
      </c>
      <c r="F172">
        <v>1.74</v>
      </c>
      <c r="G172">
        <v>0</v>
      </c>
      <c r="H172" t="s">
        <v>25</v>
      </c>
      <c r="I172">
        <v>90.353800000000007</v>
      </c>
      <c r="J172">
        <v>90.53</v>
      </c>
      <c r="K172">
        <v>-0.17619999999998001</v>
      </c>
      <c r="L172">
        <v>18</v>
      </c>
    </row>
    <row r="173" spans="1:12" x14ac:dyDescent="0.25">
      <c r="A173" t="s">
        <v>43</v>
      </c>
      <c r="B173">
        <v>1</v>
      </c>
      <c r="C173" t="s">
        <v>24</v>
      </c>
      <c r="D173">
        <v>7.43828916549682</v>
      </c>
      <c r="E173">
        <v>1.8096000000000001</v>
      </c>
      <c r="F173">
        <v>1.8099999999999901</v>
      </c>
      <c r="G173">
        <v>0</v>
      </c>
      <c r="H173" t="s">
        <v>25</v>
      </c>
      <c r="I173">
        <v>74.06</v>
      </c>
      <c r="J173">
        <v>74.12</v>
      </c>
      <c r="K173">
        <v>-6.0000000000002197E-2</v>
      </c>
      <c r="L173">
        <v>3</v>
      </c>
    </row>
    <row r="174" spans="1:12" x14ac:dyDescent="0.25">
      <c r="A174" t="s">
        <v>43</v>
      </c>
      <c r="B174">
        <v>2</v>
      </c>
      <c r="C174" t="s">
        <v>24</v>
      </c>
      <c r="D174">
        <v>14.5447897911071</v>
      </c>
      <c r="E174">
        <v>2.9619</v>
      </c>
      <c r="F174">
        <v>2.97</v>
      </c>
      <c r="G174">
        <v>0</v>
      </c>
      <c r="H174" t="s">
        <v>25</v>
      </c>
      <c r="I174">
        <v>76.42</v>
      </c>
      <c r="J174">
        <v>76.459999999999994</v>
      </c>
      <c r="K174">
        <v>-3.9999999999992E-2</v>
      </c>
      <c r="L174">
        <v>5</v>
      </c>
    </row>
    <row r="175" spans="1:12" x14ac:dyDescent="0.25">
      <c r="A175" t="s">
        <v>43</v>
      </c>
      <c r="B175">
        <v>3</v>
      </c>
      <c r="C175" t="s">
        <v>24</v>
      </c>
      <c r="D175">
        <v>17.509852886199901</v>
      </c>
      <c r="E175">
        <v>5.9238</v>
      </c>
      <c r="F175">
        <v>5.92</v>
      </c>
      <c r="G175">
        <v>0</v>
      </c>
      <c r="H175" t="s">
        <v>25</v>
      </c>
      <c r="I175">
        <v>82.34</v>
      </c>
      <c r="J175">
        <v>82.38</v>
      </c>
      <c r="K175">
        <v>-3.9999999999992E-2</v>
      </c>
      <c r="L175">
        <v>5</v>
      </c>
    </row>
    <row r="176" spans="1:12" x14ac:dyDescent="0.25">
      <c r="A176" t="s">
        <v>43</v>
      </c>
      <c r="B176">
        <v>4</v>
      </c>
      <c r="C176" t="s">
        <v>24</v>
      </c>
      <c r="D176">
        <v>26.078339099884001</v>
      </c>
      <c r="E176">
        <v>1.7319</v>
      </c>
      <c r="F176">
        <v>1.74</v>
      </c>
      <c r="G176">
        <v>0</v>
      </c>
      <c r="H176" t="s">
        <v>25</v>
      </c>
      <c r="I176">
        <v>83.21</v>
      </c>
      <c r="J176">
        <v>83.29</v>
      </c>
      <c r="K176">
        <v>-7.9999999999998295E-2</v>
      </c>
      <c r="L176">
        <v>6</v>
      </c>
    </row>
    <row r="177" spans="1:12" x14ac:dyDescent="0.25">
      <c r="A177" t="s">
        <v>43</v>
      </c>
      <c r="B177">
        <v>5</v>
      </c>
      <c r="C177" t="s">
        <v>24</v>
      </c>
      <c r="D177">
        <v>27.760442972183199</v>
      </c>
      <c r="E177">
        <v>3.4638</v>
      </c>
      <c r="F177">
        <v>3.46</v>
      </c>
      <c r="G177">
        <v>0</v>
      </c>
      <c r="H177" t="s">
        <v>25</v>
      </c>
      <c r="I177">
        <v>86.67</v>
      </c>
      <c r="J177">
        <v>86.75</v>
      </c>
      <c r="K177">
        <v>-7.9999999999998295E-2</v>
      </c>
      <c r="L177">
        <v>6</v>
      </c>
    </row>
    <row r="178" spans="1:12" x14ac:dyDescent="0.25">
      <c r="A178" t="s">
        <v>43</v>
      </c>
      <c r="B178">
        <v>6</v>
      </c>
      <c r="C178" t="s">
        <v>24</v>
      </c>
      <c r="D178">
        <v>31.240071773528999</v>
      </c>
      <c r="E178">
        <v>6.9276</v>
      </c>
      <c r="F178">
        <v>6.93</v>
      </c>
      <c r="G178">
        <v>0</v>
      </c>
      <c r="H178" t="s">
        <v>25</v>
      </c>
      <c r="I178">
        <v>93.603999999999999</v>
      </c>
      <c r="J178">
        <v>91.04</v>
      </c>
      <c r="K178">
        <v>2.5639999999999898</v>
      </c>
      <c r="L178">
        <v>6</v>
      </c>
    </row>
    <row r="179" spans="1:12" x14ac:dyDescent="0.25">
      <c r="A179" t="s">
        <v>43</v>
      </c>
      <c r="B179">
        <v>7</v>
      </c>
      <c r="C179" t="s">
        <v>24</v>
      </c>
      <c r="D179">
        <v>38.143208265304501</v>
      </c>
      <c r="E179">
        <v>6.9276</v>
      </c>
      <c r="F179">
        <v>6.92</v>
      </c>
      <c r="G179">
        <v>0</v>
      </c>
      <c r="H179" t="s">
        <v>25</v>
      </c>
      <c r="I179">
        <v>100.524</v>
      </c>
      <c r="J179">
        <v>97.01</v>
      </c>
      <c r="K179">
        <v>3.51399999999999</v>
      </c>
      <c r="L179">
        <v>6</v>
      </c>
    </row>
    <row r="180" spans="1:12" x14ac:dyDescent="0.25">
      <c r="A180" t="s">
        <v>43</v>
      </c>
      <c r="B180">
        <v>8</v>
      </c>
      <c r="C180" t="s">
        <v>24</v>
      </c>
      <c r="D180">
        <v>45.114793062209998</v>
      </c>
      <c r="E180">
        <v>6.9276</v>
      </c>
      <c r="F180">
        <v>6.93</v>
      </c>
      <c r="G180">
        <v>0</v>
      </c>
      <c r="H180" t="s">
        <v>25</v>
      </c>
      <c r="I180">
        <v>107.45399999999999</v>
      </c>
      <c r="J180">
        <v>103.94</v>
      </c>
      <c r="K180">
        <v>3.51400000000001</v>
      </c>
      <c r="L180">
        <v>6</v>
      </c>
    </row>
    <row r="181" spans="1:12" x14ac:dyDescent="0.25">
      <c r="A181" t="s">
        <v>43</v>
      </c>
      <c r="B181">
        <v>9</v>
      </c>
      <c r="C181" t="s">
        <v>24</v>
      </c>
      <c r="D181">
        <v>52.026268720626803</v>
      </c>
      <c r="E181">
        <v>6.9276</v>
      </c>
      <c r="F181">
        <v>6.9299999999999899</v>
      </c>
      <c r="G181">
        <v>0</v>
      </c>
      <c r="H181" t="s">
        <v>25</v>
      </c>
      <c r="I181">
        <v>114.384</v>
      </c>
      <c r="J181">
        <v>110.87</v>
      </c>
      <c r="K181">
        <v>3.51399999999999</v>
      </c>
      <c r="L181">
        <v>6</v>
      </c>
    </row>
    <row r="182" spans="1:12" x14ac:dyDescent="0.25">
      <c r="A182" t="s">
        <v>43</v>
      </c>
      <c r="B182">
        <v>10</v>
      </c>
      <c r="C182" t="s">
        <v>24</v>
      </c>
      <c r="D182">
        <v>61.522314786910997</v>
      </c>
      <c r="E182">
        <v>1.7319</v>
      </c>
      <c r="F182">
        <v>1.74</v>
      </c>
      <c r="G182">
        <v>0</v>
      </c>
      <c r="H182" t="s">
        <v>25</v>
      </c>
      <c r="I182">
        <v>109.214</v>
      </c>
      <c r="J182">
        <v>105.79</v>
      </c>
      <c r="K182">
        <v>3.4239999999999999</v>
      </c>
      <c r="L182">
        <v>12</v>
      </c>
    </row>
    <row r="183" spans="1:12" x14ac:dyDescent="0.25">
      <c r="A183" t="s">
        <v>43</v>
      </c>
      <c r="B183">
        <v>11</v>
      </c>
      <c r="C183" t="s">
        <v>24</v>
      </c>
      <c r="D183">
        <v>82.926070928573594</v>
      </c>
      <c r="E183">
        <v>1.7319</v>
      </c>
      <c r="F183">
        <v>1.74</v>
      </c>
      <c r="G183">
        <v>0</v>
      </c>
      <c r="H183" t="s">
        <v>25</v>
      </c>
      <c r="I183">
        <v>103.384</v>
      </c>
      <c r="J183">
        <v>101.32</v>
      </c>
      <c r="K183">
        <v>2.0640000000000001</v>
      </c>
      <c r="L183">
        <v>18</v>
      </c>
    </row>
    <row r="184" spans="1:12" x14ac:dyDescent="0.25">
      <c r="A184" t="s">
        <v>43</v>
      </c>
      <c r="B184">
        <v>12</v>
      </c>
      <c r="C184" t="s">
        <v>24</v>
      </c>
      <c r="D184">
        <v>84.640828609466496</v>
      </c>
      <c r="E184">
        <v>3.4638</v>
      </c>
      <c r="F184">
        <v>3.46</v>
      </c>
      <c r="G184">
        <v>0</v>
      </c>
      <c r="H184" t="s">
        <v>25</v>
      </c>
      <c r="I184">
        <v>106.84399999999999</v>
      </c>
      <c r="J184">
        <v>104.78</v>
      </c>
      <c r="K184">
        <v>2.0639999999999898</v>
      </c>
      <c r="L184">
        <v>18</v>
      </c>
    </row>
    <row r="185" spans="1:12" x14ac:dyDescent="0.25">
      <c r="A185" t="s">
        <v>43</v>
      </c>
      <c r="B185">
        <v>13</v>
      </c>
      <c r="C185" t="s">
        <v>24</v>
      </c>
      <c r="D185">
        <v>88.066279888153005</v>
      </c>
      <c r="E185">
        <v>6.9276</v>
      </c>
      <c r="F185">
        <v>6.93</v>
      </c>
      <c r="G185">
        <v>0</v>
      </c>
      <c r="H185" t="s">
        <v>25</v>
      </c>
      <c r="I185">
        <v>113.777999999999</v>
      </c>
      <c r="J185">
        <v>109.21</v>
      </c>
      <c r="K185">
        <v>4.5679999999999898</v>
      </c>
      <c r="L185">
        <v>18</v>
      </c>
    </row>
    <row r="186" spans="1:12" x14ac:dyDescent="0.25">
      <c r="A186" t="s">
        <v>43</v>
      </c>
      <c r="B186">
        <v>14</v>
      </c>
      <c r="C186" t="s">
        <v>24</v>
      </c>
      <c r="D186">
        <v>94.984770298004094</v>
      </c>
      <c r="E186">
        <v>6.9276</v>
      </c>
      <c r="F186">
        <v>6.92</v>
      </c>
      <c r="G186">
        <v>0</v>
      </c>
      <c r="H186" t="s">
        <v>25</v>
      </c>
      <c r="I186">
        <v>120.69799999999999</v>
      </c>
      <c r="J186">
        <v>115.04</v>
      </c>
      <c r="K186">
        <v>5.6579999999999799</v>
      </c>
      <c r="L186">
        <v>18</v>
      </c>
    </row>
    <row r="187" spans="1:12" x14ac:dyDescent="0.25">
      <c r="A187" t="s">
        <v>43</v>
      </c>
      <c r="B187">
        <v>15</v>
      </c>
      <c r="C187" t="s">
        <v>24</v>
      </c>
      <c r="D187">
        <v>101.943335533142</v>
      </c>
      <c r="E187">
        <v>6.9276</v>
      </c>
      <c r="F187">
        <v>6.93</v>
      </c>
      <c r="G187">
        <v>0</v>
      </c>
      <c r="H187" t="s">
        <v>25</v>
      </c>
      <c r="I187">
        <v>127.62799999999901</v>
      </c>
      <c r="J187">
        <v>121.97</v>
      </c>
      <c r="K187">
        <v>5.6579999999999799</v>
      </c>
      <c r="L187">
        <v>18</v>
      </c>
    </row>
    <row r="188" spans="1:12" x14ac:dyDescent="0.25">
      <c r="A188" t="s">
        <v>43</v>
      </c>
      <c r="B188">
        <v>16</v>
      </c>
      <c r="C188" t="s">
        <v>24</v>
      </c>
      <c r="D188">
        <v>113.958389520645</v>
      </c>
      <c r="E188">
        <v>2.9619</v>
      </c>
      <c r="F188">
        <v>2.97</v>
      </c>
      <c r="G188">
        <v>0</v>
      </c>
      <c r="H188" t="s">
        <v>25</v>
      </c>
      <c r="I188">
        <v>129.68799999999999</v>
      </c>
      <c r="J188">
        <v>124.08</v>
      </c>
      <c r="K188">
        <v>5.6079999999999899</v>
      </c>
      <c r="L188">
        <v>21</v>
      </c>
    </row>
    <row r="189" spans="1:12" x14ac:dyDescent="0.25">
      <c r="A189" t="s">
        <v>43</v>
      </c>
      <c r="B189">
        <v>17</v>
      </c>
      <c r="C189" t="s">
        <v>24</v>
      </c>
      <c r="D189">
        <v>116.89024114608701</v>
      </c>
      <c r="E189">
        <v>5.9238</v>
      </c>
      <c r="F189">
        <v>5.92</v>
      </c>
      <c r="G189">
        <v>0</v>
      </c>
      <c r="H189" t="s">
        <v>25</v>
      </c>
      <c r="I189">
        <v>135.60799999999901</v>
      </c>
      <c r="J189">
        <v>130.01</v>
      </c>
      <c r="K189">
        <v>5.5979999999999803</v>
      </c>
      <c r="L189">
        <v>21</v>
      </c>
    </row>
    <row r="190" spans="1:12" x14ac:dyDescent="0.25">
      <c r="A190" t="s">
        <v>43</v>
      </c>
      <c r="B190">
        <v>18</v>
      </c>
      <c r="C190" t="s">
        <v>24</v>
      </c>
      <c r="D190">
        <v>122.84268450737</v>
      </c>
      <c r="E190">
        <v>11.8476</v>
      </c>
      <c r="F190">
        <v>11.85</v>
      </c>
      <c r="G190">
        <v>0</v>
      </c>
      <c r="H190" t="s">
        <v>25</v>
      </c>
      <c r="I190">
        <v>147.458</v>
      </c>
      <c r="J190">
        <v>141.86000000000001</v>
      </c>
      <c r="K190">
        <v>5.5979999999999803</v>
      </c>
      <c r="L190">
        <v>21</v>
      </c>
    </row>
    <row r="191" spans="1:12" x14ac:dyDescent="0.25">
      <c r="A191" t="s">
        <v>43</v>
      </c>
      <c r="B191">
        <v>19</v>
      </c>
      <c r="C191" t="s">
        <v>24</v>
      </c>
      <c r="D191">
        <v>132.853156089782</v>
      </c>
      <c r="E191">
        <v>1.7969999999999999</v>
      </c>
      <c r="F191">
        <v>1.7999999999999901</v>
      </c>
      <c r="G191">
        <v>0</v>
      </c>
      <c r="H191" t="s">
        <v>25</v>
      </c>
      <c r="I191">
        <v>143.79799999999901</v>
      </c>
      <c r="J191">
        <v>138.25</v>
      </c>
      <c r="K191">
        <v>5.5479999999999698</v>
      </c>
      <c r="L191">
        <v>23</v>
      </c>
    </row>
    <row r="192" spans="1:12" x14ac:dyDescent="0.25">
      <c r="A192" t="s">
        <v>43</v>
      </c>
      <c r="B192">
        <v>20</v>
      </c>
      <c r="C192" t="s">
        <v>24</v>
      </c>
      <c r="D192">
        <v>134.639464378356</v>
      </c>
      <c r="E192">
        <v>3.5939999999999999</v>
      </c>
      <c r="F192">
        <v>3.59</v>
      </c>
      <c r="G192">
        <v>0</v>
      </c>
      <c r="H192" t="s">
        <v>25</v>
      </c>
      <c r="I192">
        <v>147.38799999999901</v>
      </c>
      <c r="J192">
        <v>141.84</v>
      </c>
      <c r="K192">
        <v>5.5479999999999698</v>
      </c>
      <c r="L192">
        <v>23</v>
      </c>
    </row>
    <row r="193" spans="1:12" x14ac:dyDescent="0.25">
      <c r="A193" t="s">
        <v>44</v>
      </c>
      <c r="B193">
        <v>1</v>
      </c>
      <c r="C193" t="s">
        <v>24</v>
      </c>
      <c r="D193">
        <v>19.294506311416601</v>
      </c>
      <c r="E193">
        <v>1.7319</v>
      </c>
      <c r="F193">
        <v>1.74</v>
      </c>
      <c r="G193">
        <v>0</v>
      </c>
      <c r="H193" t="s">
        <v>25</v>
      </c>
      <c r="I193">
        <v>72.709999999999994</v>
      </c>
      <c r="J193">
        <v>72.95</v>
      </c>
      <c r="K193">
        <v>-0.239999999999994</v>
      </c>
      <c r="L193">
        <v>6</v>
      </c>
    </row>
    <row r="194" spans="1:12" x14ac:dyDescent="0.25">
      <c r="A194" t="s">
        <v>44</v>
      </c>
      <c r="B194">
        <v>2</v>
      </c>
      <c r="C194" t="s">
        <v>24</v>
      </c>
      <c r="D194">
        <v>21.043079853057801</v>
      </c>
      <c r="E194">
        <v>3.4638</v>
      </c>
      <c r="F194">
        <v>3.46</v>
      </c>
      <c r="G194">
        <v>0</v>
      </c>
      <c r="H194" t="s">
        <v>25</v>
      </c>
      <c r="I194">
        <v>76.17</v>
      </c>
      <c r="J194">
        <v>76.41</v>
      </c>
      <c r="K194">
        <v>-0.239999999999994</v>
      </c>
      <c r="L194">
        <v>6</v>
      </c>
    </row>
    <row r="195" spans="1:12" x14ac:dyDescent="0.25">
      <c r="A195" t="s">
        <v>44</v>
      </c>
      <c r="B195">
        <v>3</v>
      </c>
      <c r="C195" t="s">
        <v>24</v>
      </c>
      <c r="D195">
        <v>31.281671047210601</v>
      </c>
      <c r="E195">
        <v>1.7969999999999999</v>
      </c>
      <c r="F195">
        <v>1.7999999999999901</v>
      </c>
      <c r="G195">
        <v>0</v>
      </c>
      <c r="H195" t="s">
        <v>25</v>
      </c>
      <c r="I195">
        <v>75.06</v>
      </c>
      <c r="J195">
        <v>75.5</v>
      </c>
      <c r="K195">
        <v>-0.439999999999997</v>
      </c>
      <c r="L195">
        <v>10</v>
      </c>
    </row>
    <row r="196" spans="1:12" x14ac:dyDescent="0.25">
      <c r="A196" t="s">
        <v>44</v>
      </c>
      <c r="B196">
        <v>4</v>
      </c>
      <c r="C196" t="s">
        <v>24</v>
      </c>
      <c r="D196">
        <v>36.111778497695902</v>
      </c>
      <c r="E196">
        <v>1.7319</v>
      </c>
      <c r="F196">
        <v>1.74</v>
      </c>
      <c r="G196">
        <v>0</v>
      </c>
      <c r="H196" t="s">
        <v>25</v>
      </c>
      <c r="I196">
        <v>76.23</v>
      </c>
      <c r="J196">
        <v>76.760000000000005</v>
      </c>
      <c r="K196">
        <v>-0.52999999999998604</v>
      </c>
      <c r="L196">
        <v>12</v>
      </c>
    </row>
    <row r="197" spans="1:12" x14ac:dyDescent="0.25">
      <c r="A197" t="s">
        <v>44</v>
      </c>
      <c r="B197">
        <v>5</v>
      </c>
      <c r="C197" t="s">
        <v>24</v>
      </c>
      <c r="D197">
        <v>37.834541082382202</v>
      </c>
      <c r="E197">
        <v>3.4638</v>
      </c>
      <c r="F197">
        <v>3.46</v>
      </c>
      <c r="G197">
        <v>0</v>
      </c>
      <c r="H197" t="s">
        <v>25</v>
      </c>
      <c r="I197">
        <v>79.69</v>
      </c>
      <c r="J197">
        <v>80.22</v>
      </c>
      <c r="K197">
        <v>-0.52999999999998604</v>
      </c>
      <c r="L197">
        <v>12</v>
      </c>
    </row>
    <row r="198" spans="1:12" x14ac:dyDescent="0.25">
      <c r="A198" t="s">
        <v>44</v>
      </c>
      <c r="B198">
        <v>6</v>
      </c>
      <c r="C198" t="s">
        <v>24</v>
      </c>
      <c r="D198">
        <v>41.2709701061248</v>
      </c>
      <c r="E198">
        <v>6.9276</v>
      </c>
      <c r="F198">
        <v>6.93</v>
      </c>
      <c r="G198">
        <v>0</v>
      </c>
      <c r="H198" t="s">
        <v>25</v>
      </c>
      <c r="I198">
        <v>86.62</v>
      </c>
      <c r="J198">
        <v>87.15</v>
      </c>
      <c r="K198">
        <v>-0.52999999999998604</v>
      </c>
      <c r="L198">
        <v>12</v>
      </c>
    </row>
    <row r="199" spans="1:12" x14ac:dyDescent="0.25">
      <c r="A199" t="s">
        <v>44</v>
      </c>
      <c r="B199">
        <v>7</v>
      </c>
      <c r="C199" t="s">
        <v>24</v>
      </c>
      <c r="D199">
        <v>48.117537260055499</v>
      </c>
      <c r="E199">
        <v>2.9619</v>
      </c>
      <c r="F199">
        <v>2.97</v>
      </c>
      <c r="G199">
        <v>0</v>
      </c>
      <c r="H199" t="s">
        <v>25</v>
      </c>
      <c r="I199">
        <v>83.48</v>
      </c>
      <c r="J199">
        <v>84.07</v>
      </c>
      <c r="K199">
        <v>-0.58999999999997499</v>
      </c>
      <c r="L199">
        <v>13</v>
      </c>
    </row>
    <row r="200" spans="1:12" x14ac:dyDescent="0.25">
      <c r="A200" t="s">
        <v>44</v>
      </c>
      <c r="B200">
        <v>8</v>
      </c>
      <c r="C200" t="s">
        <v>24</v>
      </c>
      <c r="D200">
        <v>51.098541498184197</v>
      </c>
      <c r="E200">
        <v>5.9238</v>
      </c>
      <c r="F200">
        <v>5.92</v>
      </c>
      <c r="G200">
        <v>0</v>
      </c>
      <c r="H200" t="s">
        <v>25</v>
      </c>
      <c r="I200">
        <v>89.4</v>
      </c>
      <c r="J200">
        <v>89.99</v>
      </c>
      <c r="K200">
        <v>-0.58999999999997499</v>
      </c>
      <c r="L200">
        <v>13</v>
      </c>
    </row>
    <row r="201" spans="1:12" x14ac:dyDescent="0.25">
      <c r="A201" t="s">
        <v>44</v>
      </c>
      <c r="B201">
        <v>9</v>
      </c>
      <c r="C201" t="s">
        <v>24</v>
      </c>
      <c r="D201">
        <v>57.042106866836498</v>
      </c>
      <c r="E201">
        <v>11.8476</v>
      </c>
      <c r="F201">
        <v>11.85</v>
      </c>
      <c r="G201">
        <v>0</v>
      </c>
      <c r="H201" t="s">
        <v>25</v>
      </c>
      <c r="I201">
        <v>101.25</v>
      </c>
      <c r="J201">
        <v>101.84</v>
      </c>
      <c r="K201">
        <v>-0.58999999999998898</v>
      </c>
      <c r="L201">
        <v>13</v>
      </c>
    </row>
    <row r="202" spans="1:12" x14ac:dyDescent="0.25">
      <c r="A202" t="s">
        <v>44</v>
      </c>
      <c r="B202">
        <v>10</v>
      </c>
      <c r="C202" t="s">
        <v>24</v>
      </c>
      <c r="D202">
        <v>68.910612344741807</v>
      </c>
      <c r="E202">
        <v>11.8476</v>
      </c>
      <c r="F202">
        <v>11.84</v>
      </c>
      <c r="G202">
        <v>0</v>
      </c>
      <c r="H202" t="s">
        <v>25</v>
      </c>
      <c r="I202">
        <v>113.09</v>
      </c>
      <c r="J202">
        <v>113.68</v>
      </c>
      <c r="K202">
        <v>-0.58999999999998898</v>
      </c>
      <c r="L202">
        <v>13</v>
      </c>
    </row>
    <row r="203" spans="1:12" x14ac:dyDescent="0.25">
      <c r="A203" t="s">
        <v>44</v>
      </c>
      <c r="B203">
        <v>11</v>
      </c>
      <c r="C203" t="s">
        <v>24</v>
      </c>
      <c r="D203">
        <v>77.981561660766602</v>
      </c>
      <c r="E203">
        <v>1.79</v>
      </c>
      <c r="F203">
        <v>1.79</v>
      </c>
      <c r="G203">
        <v>0</v>
      </c>
      <c r="H203" t="s">
        <v>25</v>
      </c>
      <c r="I203">
        <v>108.43</v>
      </c>
      <c r="J203">
        <v>109.11</v>
      </c>
      <c r="K203">
        <v>-0.67999999999997796</v>
      </c>
      <c r="L203">
        <v>14</v>
      </c>
    </row>
    <row r="204" spans="1:12" x14ac:dyDescent="0.25">
      <c r="A204" t="s">
        <v>45</v>
      </c>
      <c r="B204">
        <v>1</v>
      </c>
      <c r="C204" t="s">
        <v>24</v>
      </c>
      <c r="D204">
        <v>25.5537912845611</v>
      </c>
      <c r="E204">
        <v>1.7969999999999999</v>
      </c>
      <c r="F204">
        <v>1.7999999999999901</v>
      </c>
      <c r="G204">
        <v>0</v>
      </c>
      <c r="H204" t="s">
        <v>25</v>
      </c>
      <c r="I204">
        <v>69.489999999999995</v>
      </c>
      <c r="J204">
        <v>69.67</v>
      </c>
      <c r="K204">
        <v>-0.179999999999992</v>
      </c>
      <c r="L204">
        <v>10</v>
      </c>
    </row>
    <row r="205" spans="1:12" x14ac:dyDescent="0.25">
      <c r="A205" t="s">
        <v>45</v>
      </c>
      <c r="B205">
        <v>2</v>
      </c>
      <c r="C205" t="s">
        <v>24</v>
      </c>
      <c r="D205">
        <v>30.942447900771999</v>
      </c>
      <c r="E205">
        <v>1.7319</v>
      </c>
      <c r="F205">
        <v>1.74</v>
      </c>
      <c r="G205">
        <v>0</v>
      </c>
      <c r="H205" t="s">
        <v>25</v>
      </c>
      <c r="I205">
        <v>71.319999999999993</v>
      </c>
      <c r="J205">
        <v>71.56</v>
      </c>
      <c r="K205">
        <v>-0.239999999999994</v>
      </c>
      <c r="L205">
        <v>12</v>
      </c>
    </row>
    <row r="206" spans="1:12" x14ac:dyDescent="0.25">
      <c r="A206" t="s">
        <v>45</v>
      </c>
      <c r="B206">
        <v>3</v>
      </c>
      <c r="C206" t="s">
        <v>24</v>
      </c>
      <c r="D206">
        <v>32.685066461563103</v>
      </c>
      <c r="E206">
        <v>3.4638</v>
      </c>
      <c r="F206">
        <v>3.46</v>
      </c>
      <c r="G206">
        <v>0</v>
      </c>
      <c r="H206" t="s">
        <v>25</v>
      </c>
      <c r="I206">
        <v>74.78</v>
      </c>
      <c r="J206">
        <v>75.03</v>
      </c>
      <c r="K206">
        <v>-0.24999999999998501</v>
      </c>
      <c r="L206">
        <v>12</v>
      </c>
    </row>
    <row r="207" spans="1:12" x14ac:dyDescent="0.25">
      <c r="A207" t="s">
        <v>46</v>
      </c>
      <c r="B207">
        <v>1</v>
      </c>
      <c r="C207" t="s">
        <v>24</v>
      </c>
      <c r="D207">
        <v>4.0395364761352504</v>
      </c>
      <c r="E207">
        <v>1.9964999999999999</v>
      </c>
      <c r="F207">
        <v>2</v>
      </c>
      <c r="G207">
        <v>0</v>
      </c>
      <c r="H207" t="s">
        <v>25</v>
      </c>
      <c r="I207">
        <v>74.489999999999995</v>
      </c>
      <c r="J207">
        <v>74.53</v>
      </c>
      <c r="K207">
        <v>-3.9999999999992E-2</v>
      </c>
      <c r="L207">
        <v>2</v>
      </c>
    </row>
    <row r="208" spans="1:12" x14ac:dyDescent="0.25">
      <c r="A208" t="s">
        <v>46</v>
      </c>
      <c r="B208">
        <v>2</v>
      </c>
      <c r="C208" t="s">
        <v>24</v>
      </c>
      <c r="D208">
        <v>8.4347615242004395</v>
      </c>
      <c r="E208">
        <v>1.8096000000000001</v>
      </c>
      <c r="F208">
        <v>1.8099999999999901</v>
      </c>
      <c r="G208">
        <v>0</v>
      </c>
      <c r="H208" t="s">
        <v>25</v>
      </c>
      <c r="I208">
        <v>75.03</v>
      </c>
      <c r="J208">
        <v>75.099999999999994</v>
      </c>
      <c r="K208">
        <v>-6.9999999999993096E-2</v>
      </c>
      <c r="L208">
        <v>3</v>
      </c>
    </row>
    <row r="209" spans="1:12" x14ac:dyDescent="0.25">
      <c r="A209" t="s">
        <v>46</v>
      </c>
      <c r="B209">
        <v>3</v>
      </c>
      <c r="C209" t="s">
        <v>24</v>
      </c>
      <c r="D209">
        <v>15.2708313465118</v>
      </c>
      <c r="E209">
        <v>2.9619</v>
      </c>
      <c r="F209">
        <v>2.97</v>
      </c>
      <c r="G209">
        <v>0</v>
      </c>
      <c r="H209" t="s">
        <v>25</v>
      </c>
      <c r="I209">
        <v>76.97</v>
      </c>
      <c r="J209">
        <v>77.16</v>
      </c>
      <c r="K209">
        <v>-0.18999999999998299</v>
      </c>
      <c r="L209">
        <v>5</v>
      </c>
    </row>
    <row r="210" spans="1:12" x14ac:dyDescent="0.25">
      <c r="A210" t="s">
        <v>46</v>
      </c>
      <c r="B210">
        <v>4</v>
      </c>
      <c r="C210" t="s">
        <v>24</v>
      </c>
      <c r="D210">
        <v>30.248587131500202</v>
      </c>
      <c r="E210">
        <v>1.7969999999999999</v>
      </c>
      <c r="F210">
        <v>1.7999999999999901</v>
      </c>
      <c r="G210">
        <v>0</v>
      </c>
      <c r="H210" t="s">
        <v>25</v>
      </c>
      <c r="I210">
        <v>74.150000000000006</v>
      </c>
      <c r="J210">
        <v>74.44</v>
      </c>
      <c r="K210">
        <v>-0.28999999999999199</v>
      </c>
      <c r="L210">
        <v>10</v>
      </c>
    </row>
    <row r="211" spans="1:12" x14ac:dyDescent="0.25">
      <c r="A211" t="s">
        <v>46</v>
      </c>
      <c r="B211">
        <v>5</v>
      </c>
      <c r="C211" t="s">
        <v>24</v>
      </c>
      <c r="D211">
        <v>32.055531740188599</v>
      </c>
      <c r="E211">
        <v>3.5939999999999999</v>
      </c>
      <c r="F211">
        <v>3.59</v>
      </c>
      <c r="G211">
        <v>0</v>
      </c>
      <c r="H211" t="s">
        <v>25</v>
      </c>
      <c r="I211">
        <v>77.739999999999995</v>
      </c>
      <c r="J211">
        <v>78.040000000000006</v>
      </c>
      <c r="K211">
        <v>-0.29999999999999699</v>
      </c>
      <c r="L211">
        <v>10</v>
      </c>
    </row>
    <row r="212" spans="1:12" x14ac:dyDescent="0.25">
      <c r="A212" t="s">
        <v>46</v>
      </c>
      <c r="B212">
        <v>6</v>
      </c>
      <c r="C212" t="s">
        <v>24</v>
      </c>
      <c r="D212">
        <v>35.621219396591101</v>
      </c>
      <c r="E212">
        <v>7.1879999999999997</v>
      </c>
      <c r="F212">
        <v>7.19</v>
      </c>
      <c r="G212">
        <v>0</v>
      </c>
      <c r="H212" t="s">
        <v>25</v>
      </c>
      <c r="I212">
        <v>84.933800000000005</v>
      </c>
      <c r="J212">
        <v>82.86</v>
      </c>
      <c r="K212">
        <v>2.0737999999999999</v>
      </c>
      <c r="L212">
        <v>10</v>
      </c>
    </row>
    <row r="213" spans="1:12" x14ac:dyDescent="0.25">
      <c r="A213" t="s">
        <v>46</v>
      </c>
      <c r="B213">
        <v>7</v>
      </c>
      <c r="C213" t="s">
        <v>24</v>
      </c>
      <c r="D213">
        <v>42.844873666763299</v>
      </c>
      <c r="E213">
        <v>7.1879999999999997</v>
      </c>
      <c r="F213">
        <v>7.1899999999999897</v>
      </c>
      <c r="G213">
        <v>0</v>
      </c>
      <c r="H213" t="s">
        <v>25</v>
      </c>
      <c r="I213">
        <v>92.123800000000003</v>
      </c>
      <c r="J213">
        <v>88.95</v>
      </c>
      <c r="K213">
        <v>3.1738</v>
      </c>
      <c r="L213">
        <v>10</v>
      </c>
    </row>
    <row r="214" spans="1:12" x14ac:dyDescent="0.25">
      <c r="A214" t="s">
        <v>47</v>
      </c>
      <c r="B214">
        <v>1</v>
      </c>
      <c r="C214" t="s">
        <v>24</v>
      </c>
      <c r="D214">
        <v>16.766652107238698</v>
      </c>
      <c r="E214">
        <v>1.7969999999999999</v>
      </c>
      <c r="F214">
        <v>1.7999999999999901</v>
      </c>
      <c r="G214">
        <v>0</v>
      </c>
      <c r="H214" t="s">
        <v>25</v>
      </c>
      <c r="I214">
        <v>73.8</v>
      </c>
      <c r="J214">
        <v>73.91</v>
      </c>
      <c r="K214">
        <v>-0.109999999999985</v>
      </c>
      <c r="L214">
        <v>8</v>
      </c>
    </row>
    <row r="215" spans="1:12" x14ac:dyDescent="0.25">
      <c r="A215" t="s">
        <v>47</v>
      </c>
      <c r="B215">
        <v>2</v>
      </c>
      <c r="C215" t="s">
        <v>24</v>
      </c>
      <c r="D215">
        <v>18.57954788208</v>
      </c>
      <c r="E215">
        <v>3.5939999999999999</v>
      </c>
      <c r="F215">
        <v>3.6</v>
      </c>
      <c r="G215">
        <v>0</v>
      </c>
      <c r="H215" t="s">
        <v>25</v>
      </c>
      <c r="I215">
        <v>77.400000000000006</v>
      </c>
      <c r="J215">
        <v>77.5</v>
      </c>
      <c r="K215">
        <v>-9.9999999999994302E-2</v>
      </c>
      <c r="L215">
        <v>8</v>
      </c>
    </row>
    <row r="216" spans="1:12" x14ac:dyDescent="0.25">
      <c r="A216" t="s">
        <v>47</v>
      </c>
      <c r="B216">
        <v>3</v>
      </c>
      <c r="C216" t="s">
        <v>24</v>
      </c>
      <c r="D216">
        <v>22.9362742900848</v>
      </c>
      <c r="E216">
        <v>1.7319</v>
      </c>
      <c r="F216">
        <v>1.74</v>
      </c>
      <c r="G216">
        <v>0</v>
      </c>
      <c r="H216" t="s">
        <v>25</v>
      </c>
      <c r="I216">
        <v>76.39</v>
      </c>
      <c r="J216">
        <v>76.55</v>
      </c>
      <c r="K216">
        <v>-0.15999999999999601</v>
      </c>
      <c r="L216">
        <v>6</v>
      </c>
    </row>
    <row r="217" spans="1:12" x14ac:dyDescent="0.25">
      <c r="A217" t="s">
        <v>47</v>
      </c>
      <c r="B217">
        <v>4</v>
      </c>
      <c r="C217" t="s">
        <v>24</v>
      </c>
      <c r="D217">
        <v>24.636517524719199</v>
      </c>
      <c r="E217">
        <v>3.4638</v>
      </c>
      <c r="F217">
        <v>3.46</v>
      </c>
      <c r="G217">
        <v>0</v>
      </c>
      <c r="H217" t="s">
        <v>25</v>
      </c>
      <c r="I217">
        <v>79.849999999999994</v>
      </c>
      <c r="J217">
        <v>80.010000000000005</v>
      </c>
      <c r="K217">
        <v>-0.15999999999999601</v>
      </c>
      <c r="L217">
        <v>6</v>
      </c>
    </row>
    <row r="218" spans="1:12" x14ac:dyDescent="0.25">
      <c r="A218" t="s">
        <v>47</v>
      </c>
      <c r="B218">
        <v>5</v>
      </c>
      <c r="C218" t="s">
        <v>24</v>
      </c>
      <c r="D218">
        <v>35.605297565460198</v>
      </c>
      <c r="E218">
        <v>1.7969999999999999</v>
      </c>
      <c r="F218">
        <v>1.7999999999999901</v>
      </c>
      <c r="G218">
        <v>0</v>
      </c>
      <c r="H218" t="s">
        <v>25</v>
      </c>
      <c r="I218">
        <v>79.41</v>
      </c>
      <c r="J218">
        <v>79.739999999999995</v>
      </c>
      <c r="K218">
        <v>-0.32999999999998397</v>
      </c>
      <c r="L218">
        <v>10</v>
      </c>
    </row>
    <row r="219" spans="1:12" x14ac:dyDescent="0.25">
      <c r="A219" t="s">
        <v>47</v>
      </c>
      <c r="B219">
        <v>6</v>
      </c>
      <c r="C219" t="s">
        <v>24</v>
      </c>
      <c r="D219">
        <v>37.417564630508402</v>
      </c>
      <c r="E219">
        <v>3.5939999999999999</v>
      </c>
      <c r="F219">
        <v>3.59</v>
      </c>
      <c r="G219">
        <v>0</v>
      </c>
      <c r="H219" t="s">
        <v>25</v>
      </c>
      <c r="I219">
        <v>83</v>
      </c>
      <c r="J219">
        <v>83.34</v>
      </c>
      <c r="K219">
        <v>-0.33999999999998898</v>
      </c>
      <c r="L219">
        <v>10</v>
      </c>
    </row>
    <row r="220" spans="1:12" x14ac:dyDescent="0.25">
      <c r="A220" t="s">
        <v>47</v>
      </c>
      <c r="B220">
        <v>7</v>
      </c>
      <c r="C220" t="s">
        <v>24</v>
      </c>
      <c r="D220">
        <v>61.648898363113403</v>
      </c>
      <c r="E220">
        <v>1.7319</v>
      </c>
      <c r="F220">
        <v>1.74</v>
      </c>
      <c r="G220">
        <v>0</v>
      </c>
      <c r="H220" t="s">
        <v>25</v>
      </c>
      <c r="I220">
        <v>78.81</v>
      </c>
      <c r="J220">
        <v>80.069999999999993</v>
      </c>
      <c r="K220">
        <v>-1.25999999999997</v>
      </c>
      <c r="L220">
        <v>18</v>
      </c>
    </row>
    <row r="221" spans="1:12" x14ac:dyDescent="0.25">
      <c r="A221" t="s">
        <v>47</v>
      </c>
      <c r="B221">
        <v>8</v>
      </c>
      <c r="C221" t="s">
        <v>24</v>
      </c>
      <c r="D221">
        <v>63.436238050460801</v>
      </c>
      <c r="E221">
        <v>3.4638</v>
      </c>
      <c r="F221">
        <v>3.46</v>
      </c>
      <c r="G221">
        <v>0</v>
      </c>
      <c r="H221" t="s">
        <v>25</v>
      </c>
      <c r="I221">
        <v>82.27</v>
      </c>
      <c r="J221">
        <v>83.54</v>
      </c>
      <c r="K221">
        <v>-1.26999999999999</v>
      </c>
      <c r="L221">
        <v>18</v>
      </c>
    </row>
    <row r="222" spans="1:12" x14ac:dyDescent="0.25">
      <c r="A222" t="s">
        <v>47</v>
      </c>
      <c r="B222">
        <v>9</v>
      </c>
      <c r="C222" t="s">
        <v>24</v>
      </c>
      <c r="D222">
        <v>69.675003051757798</v>
      </c>
      <c r="E222">
        <v>1.7969999999999999</v>
      </c>
      <c r="F222">
        <v>1.7999999999999901</v>
      </c>
      <c r="G222">
        <v>0</v>
      </c>
      <c r="H222" t="s">
        <v>25</v>
      </c>
      <c r="I222">
        <v>83.26</v>
      </c>
      <c r="J222">
        <v>84.59</v>
      </c>
      <c r="K222">
        <v>-1.3299999999999901</v>
      </c>
      <c r="L222">
        <v>19</v>
      </c>
    </row>
    <row r="223" spans="1:12" x14ac:dyDescent="0.25">
      <c r="A223" t="s">
        <v>47</v>
      </c>
      <c r="B223">
        <v>10</v>
      </c>
      <c r="C223" t="s">
        <v>24</v>
      </c>
      <c r="D223">
        <v>78.7579696178436</v>
      </c>
      <c r="E223">
        <v>1.8096000000000001</v>
      </c>
      <c r="F223">
        <v>1.8099999999999901</v>
      </c>
      <c r="G223">
        <v>0</v>
      </c>
      <c r="H223" t="s">
        <v>25</v>
      </c>
      <c r="I223">
        <v>82.669999999999902</v>
      </c>
      <c r="J223">
        <v>84.15</v>
      </c>
      <c r="K223">
        <v>-1.48000000000001</v>
      </c>
      <c r="L223">
        <v>22</v>
      </c>
    </row>
    <row r="224" spans="1:12" x14ac:dyDescent="0.25">
      <c r="A224" t="s">
        <v>47</v>
      </c>
      <c r="B224">
        <v>11</v>
      </c>
      <c r="C224" t="s">
        <v>24</v>
      </c>
      <c r="D224">
        <v>80.621253490447998</v>
      </c>
      <c r="E224">
        <v>3.6192000000000002</v>
      </c>
      <c r="F224">
        <v>3.62</v>
      </c>
      <c r="G224">
        <v>0</v>
      </c>
      <c r="H224" t="s">
        <v>25</v>
      </c>
      <c r="I224">
        <v>86.289999999999907</v>
      </c>
      <c r="J224">
        <v>87.77</v>
      </c>
      <c r="K224">
        <v>-1.48</v>
      </c>
      <c r="L224">
        <v>22</v>
      </c>
    </row>
    <row r="225" spans="1:23" x14ac:dyDescent="0.25">
      <c r="A225" t="s">
        <v>48</v>
      </c>
      <c r="B225">
        <v>1</v>
      </c>
      <c r="C225" t="s">
        <v>24</v>
      </c>
      <c r="D225">
        <v>27.587783575057902</v>
      </c>
      <c r="E225">
        <v>1.7969999999999999</v>
      </c>
      <c r="F225">
        <v>1.7999999999999901</v>
      </c>
      <c r="G225">
        <v>0</v>
      </c>
      <c r="H225" t="s">
        <v>25</v>
      </c>
      <c r="I225">
        <v>71.42</v>
      </c>
      <c r="J225">
        <v>71.78</v>
      </c>
      <c r="K225">
        <v>-0.35999999999999899</v>
      </c>
      <c r="L225">
        <v>10</v>
      </c>
    </row>
    <row r="226" spans="1:23" x14ac:dyDescent="0.25">
      <c r="A226" t="s">
        <v>48</v>
      </c>
      <c r="B226">
        <v>2</v>
      </c>
      <c r="C226" t="s">
        <v>24</v>
      </c>
      <c r="D226">
        <v>29.4124689102172</v>
      </c>
      <c r="E226">
        <v>3.5939999999999999</v>
      </c>
      <c r="F226">
        <v>3.59</v>
      </c>
      <c r="G226">
        <v>0</v>
      </c>
      <c r="H226" t="s">
        <v>25</v>
      </c>
      <c r="I226">
        <v>75.010000000000005</v>
      </c>
      <c r="J226">
        <v>75.37</v>
      </c>
      <c r="K226">
        <v>-0.35999999999999899</v>
      </c>
      <c r="L226">
        <v>10</v>
      </c>
    </row>
    <row r="227" spans="1:23" x14ac:dyDescent="0.25">
      <c r="A227" t="s">
        <v>48</v>
      </c>
      <c r="B227">
        <v>3</v>
      </c>
      <c r="C227" t="s">
        <v>24</v>
      </c>
      <c r="D227">
        <v>33.016248703002901</v>
      </c>
      <c r="E227">
        <v>7.1879999999999997</v>
      </c>
      <c r="F227">
        <v>7.19</v>
      </c>
      <c r="G227">
        <v>0</v>
      </c>
      <c r="H227" t="s">
        <v>25</v>
      </c>
      <c r="I227">
        <v>82.203800000000001</v>
      </c>
      <c r="J227">
        <v>80.260000000000005</v>
      </c>
      <c r="K227">
        <v>1.94379999999999</v>
      </c>
      <c r="L227">
        <v>10</v>
      </c>
    </row>
    <row r="228" spans="1:23" x14ac:dyDescent="0.25">
      <c r="A228" t="s">
        <v>48</v>
      </c>
      <c r="B228">
        <v>4</v>
      </c>
      <c r="C228" t="s">
        <v>24</v>
      </c>
      <c r="D228">
        <v>40.2379856109619</v>
      </c>
      <c r="E228">
        <v>7.1879999999999997</v>
      </c>
      <c r="F228">
        <v>7.1899999999999897</v>
      </c>
      <c r="G228">
        <v>0</v>
      </c>
      <c r="H228" t="s">
        <v>25</v>
      </c>
      <c r="I228">
        <v>89.393799999999999</v>
      </c>
      <c r="J228">
        <v>86.28</v>
      </c>
      <c r="K228">
        <v>3.1137999999999901</v>
      </c>
      <c r="L228">
        <v>10</v>
      </c>
    </row>
    <row r="229" spans="1:23" x14ac:dyDescent="0.25">
      <c r="A229" t="s">
        <v>49</v>
      </c>
      <c r="B229">
        <v>1</v>
      </c>
      <c r="C229" t="s">
        <v>24</v>
      </c>
      <c r="D229">
        <v>4.0606122016906703</v>
      </c>
      <c r="E229">
        <v>1.9964999999999999</v>
      </c>
      <c r="F229">
        <v>2</v>
      </c>
      <c r="G229">
        <v>0</v>
      </c>
      <c r="H229" t="s">
        <v>25</v>
      </c>
      <c r="I229">
        <v>74.489999999999995</v>
      </c>
      <c r="J229">
        <v>74.53</v>
      </c>
      <c r="K229">
        <v>-3.9999999999992E-2</v>
      </c>
      <c r="L229">
        <v>2</v>
      </c>
    </row>
    <row r="230" spans="1:23" x14ac:dyDescent="0.25">
      <c r="A230" t="s">
        <v>49</v>
      </c>
      <c r="B230">
        <v>2</v>
      </c>
      <c r="C230" t="s">
        <v>24</v>
      </c>
      <c r="D230">
        <v>16.7187130451202</v>
      </c>
      <c r="E230">
        <v>1.7319</v>
      </c>
      <c r="F230">
        <v>1.74</v>
      </c>
      <c r="G230">
        <v>0</v>
      </c>
      <c r="H230" t="s">
        <v>25</v>
      </c>
      <c r="I230">
        <v>73.88</v>
      </c>
      <c r="J230">
        <v>73.98</v>
      </c>
      <c r="K230">
        <v>-9.9999999999994302E-2</v>
      </c>
      <c r="L230">
        <v>6</v>
      </c>
    </row>
    <row r="231" spans="1:23" x14ac:dyDescent="0.25">
      <c r="A231" t="s">
        <v>49</v>
      </c>
      <c r="B231">
        <v>3</v>
      </c>
      <c r="C231" t="s">
        <v>24</v>
      </c>
      <c r="D231">
        <v>18.459698677062899</v>
      </c>
      <c r="E231">
        <v>3.4638</v>
      </c>
      <c r="F231">
        <v>3.46</v>
      </c>
      <c r="G231">
        <v>0</v>
      </c>
      <c r="H231" t="s">
        <v>25</v>
      </c>
      <c r="I231">
        <v>77.34</v>
      </c>
      <c r="J231">
        <v>77.45</v>
      </c>
      <c r="K231">
        <v>-0.109999999999999</v>
      </c>
      <c r="L231">
        <v>6</v>
      </c>
    </row>
    <row r="232" spans="1:23" x14ac:dyDescent="0.25">
      <c r="A232" t="s">
        <v>49</v>
      </c>
      <c r="B232">
        <v>4</v>
      </c>
      <c r="C232" t="s">
        <v>24</v>
      </c>
      <c r="D232">
        <v>30.247832059860201</v>
      </c>
      <c r="E232">
        <v>1.7969999999999999</v>
      </c>
      <c r="F232">
        <v>1.7999999999999901</v>
      </c>
      <c r="G232">
        <v>0</v>
      </c>
      <c r="H232" t="s">
        <v>25</v>
      </c>
      <c r="I232">
        <v>74</v>
      </c>
      <c r="J232">
        <v>74.38</v>
      </c>
      <c r="K232">
        <v>-0.37999999999998102</v>
      </c>
      <c r="L232">
        <v>10</v>
      </c>
    </row>
    <row r="233" spans="1:23" x14ac:dyDescent="0.25">
      <c r="A233" t="s">
        <v>49</v>
      </c>
      <c r="B233">
        <v>5</v>
      </c>
      <c r="C233" t="s">
        <v>24</v>
      </c>
      <c r="D233">
        <v>43.301553487777703</v>
      </c>
      <c r="E233">
        <v>1.79</v>
      </c>
      <c r="F233">
        <v>1.79</v>
      </c>
      <c r="G233">
        <v>0</v>
      </c>
      <c r="H233" t="s">
        <v>25</v>
      </c>
      <c r="I233">
        <v>72.39</v>
      </c>
      <c r="J233">
        <v>74.45</v>
      </c>
      <c r="K233">
        <v>-2.06</v>
      </c>
      <c r="L233">
        <v>14</v>
      </c>
    </row>
    <row r="234" spans="1:23" x14ac:dyDescent="0.25">
      <c r="A234" t="s">
        <v>49</v>
      </c>
      <c r="B234">
        <v>6</v>
      </c>
      <c r="C234" t="s">
        <v>24</v>
      </c>
      <c r="D234">
        <v>54.847396612167302</v>
      </c>
      <c r="E234">
        <v>1.7319</v>
      </c>
      <c r="F234">
        <v>1.74</v>
      </c>
      <c r="G234">
        <v>0</v>
      </c>
      <c r="H234" t="s">
        <v>25</v>
      </c>
      <c r="I234">
        <v>70.91</v>
      </c>
      <c r="J234">
        <v>73.2</v>
      </c>
      <c r="K234">
        <v>-2.2899999999999898</v>
      </c>
      <c r="L234">
        <v>18</v>
      </c>
    </row>
    <row r="235" spans="1:23" x14ac:dyDescent="0.25">
      <c r="A235" t="s">
        <v>49</v>
      </c>
      <c r="B235">
        <v>7</v>
      </c>
      <c r="C235" t="s">
        <v>24</v>
      </c>
      <c r="D235">
        <v>56.529063463211003</v>
      </c>
      <c r="E235">
        <v>3.4638</v>
      </c>
      <c r="F235">
        <v>3.46</v>
      </c>
      <c r="G235">
        <v>0</v>
      </c>
      <c r="H235" t="s">
        <v>25</v>
      </c>
      <c r="I235">
        <v>74.37</v>
      </c>
      <c r="J235">
        <v>76.66</v>
      </c>
      <c r="K235">
        <v>-2.2899999999999698</v>
      </c>
      <c r="L235">
        <v>18</v>
      </c>
    </row>
    <row r="236" spans="1:23" x14ac:dyDescent="0.25">
      <c r="A236" t="s">
        <v>49</v>
      </c>
      <c r="B236">
        <v>8</v>
      </c>
      <c r="C236" t="s">
        <v>26</v>
      </c>
      <c r="D236">
        <v>60.042470216751099</v>
      </c>
      <c r="E236">
        <v>0</v>
      </c>
      <c r="F236">
        <v>5.18</v>
      </c>
      <c r="G236">
        <v>3.35</v>
      </c>
      <c r="H236" t="s">
        <v>27</v>
      </c>
      <c r="I236">
        <v>77.834000000000003</v>
      </c>
      <c r="J236">
        <v>76.64</v>
      </c>
      <c r="K236">
        <v>1.194</v>
      </c>
      <c r="L236">
        <v>18</v>
      </c>
      <c r="M236">
        <v>18</v>
      </c>
      <c r="N236">
        <v>19</v>
      </c>
      <c r="O236">
        <v>18</v>
      </c>
      <c r="P236">
        <v>19</v>
      </c>
      <c r="Q236">
        <v>8.77</v>
      </c>
      <c r="R236">
        <v>3.46</v>
      </c>
      <c r="S236">
        <v>8.77</v>
      </c>
      <c r="T236">
        <v>3.5939999999999999</v>
      </c>
      <c r="U236">
        <v>3.35</v>
      </c>
      <c r="V236">
        <v>5.2</v>
      </c>
      <c r="W236">
        <v>5.18</v>
      </c>
    </row>
    <row r="237" spans="1:23" x14ac:dyDescent="0.25">
      <c r="A237" t="s">
        <v>50</v>
      </c>
      <c r="B237">
        <v>1</v>
      </c>
      <c r="C237" t="s">
        <v>24</v>
      </c>
      <c r="D237">
        <v>29.1139652729034</v>
      </c>
      <c r="E237">
        <v>1.7319</v>
      </c>
      <c r="F237">
        <v>1.74</v>
      </c>
      <c r="G237">
        <v>0</v>
      </c>
      <c r="H237" t="s">
        <v>25</v>
      </c>
      <c r="I237">
        <v>69.58</v>
      </c>
      <c r="J237">
        <v>69.77</v>
      </c>
      <c r="K237">
        <v>-0.18999999999998299</v>
      </c>
      <c r="L237">
        <v>12</v>
      </c>
    </row>
    <row r="238" spans="1:23" x14ac:dyDescent="0.25">
      <c r="A238" t="s">
        <v>50</v>
      </c>
      <c r="B238">
        <v>2</v>
      </c>
      <c r="C238" t="s">
        <v>24</v>
      </c>
      <c r="D238">
        <v>38.915393829345703</v>
      </c>
      <c r="E238">
        <v>1.79</v>
      </c>
      <c r="F238">
        <v>1.79</v>
      </c>
      <c r="G238">
        <v>0</v>
      </c>
      <c r="H238" t="s">
        <v>25</v>
      </c>
      <c r="I238">
        <v>69.95</v>
      </c>
      <c r="J238">
        <v>70.14</v>
      </c>
      <c r="K238">
        <v>-0.189999999999997</v>
      </c>
      <c r="L238">
        <v>14</v>
      </c>
    </row>
    <row r="239" spans="1:23" x14ac:dyDescent="0.25">
      <c r="A239" t="s">
        <v>50</v>
      </c>
      <c r="B239">
        <v>3</v>
      </c>
      <c r="C239" t="s">
        <v>24</v>
      </c>
      <c r="D239">
        <v>43.454523086547802</v>
      </c>
      <c r="E239">
        <v>1.6689000000000001</v>
      </c>
      <c r="F239">
        <v>1.67</v>
      </c>
      <c r="G239">
        <v>0</v>
      </c>
      <c r="H239" t="s">
        <v>25</v>
      </c>
      <c r="I239">
        <v>70.98</v>
      </c>
      <c r="J239">
        <v>71.2</v>
      </c>
      <c r="K239">
        <v>-0.21999999999998399</v>
      </c>
      <c r="L239">
        <v>15</v>
      </c>
    </row>
    <row r="240" spans="1:23" x14ac:dyDescent="0.25">
      <c r="A240" t="s">
        <v>50</v>
      </c>
      <c r="B240">
        <v>4</v>
      </c>
      <c r="C240" t="s">
        <v>24</v>
      </c>
      <c r="D240">
        <v>52.338407278060899</v>
      </c>
      <c r="E240">
        <v>1.7319</v>
      </c>
      <c r="F240">
        <v>1.74</v>
      </c>
      <c r="G240">
        <v>0</v>
      </c>
      <c r="H240" t="s">
        <v>25</v>
      </c>
      <c r="I240">
        <v>70.430000000000007</v>
      </c>
      <c r="J240">
        <v>70.790000000000006</v>
      </c>
      <c r="K240">
        <v>-0.359999999999985</v>
      </c>
      <c r="L240">
        <v>18</v>
      </c>
    </row>
    <row r="241" spans="1:23" x14ac:dyDescent="0.25">
      <c r="A241" t="s">
        <v>51</v>
      </c>
      <c r="B241">
        <v>1</v>
      </c>
      <c r="C241" t="s">
        <v>26</v>
      </c>
      <c r="D241">
        <v>14.6948995590209</v>
      </c>
      <c r="E241">
        <v>0</v>
      </c>
      <c r="F241">
        <v>0</v>
      </c>
      <c r="G241">
        <v>3.35</v>
      </c>
      <c r="H241" t="s">
        <v>27</v>
      </c>
      <c r="I241">
        <v>71.36</v>
      </c>
      <c r="J241">
        <v>70.099999999999994</v>
      </c>
      <c r="K241">
        <v>1.26000000000001</v>
      </c>
      <c r="L241">
        <v>6</v>
      </c>
      <c r="M241">
        <v>6</v>
      </c>
      <c r="N241">
        <v>8</v>
      </c>
      <c r="O241">
        <v>6</v>
      </c>
      <c r="P241">
        <v>8</v>
      </c>
      <c r="Q241">
        <v>1.43</v>
      </c>
      <c r="R241">
        <v>3.46</v>
      </c>
      <c r="S241">
        <v>1.43</v>
      </c>
      <c r="T241">
        <v>3.5939999999999999</v>
      </c>
      <c r="U241">
        <v>3.35</v>
      </c>
      <c r="V241">
        <v>2.16</v>
      </c>
      <c r="W241">
        <v>0</v>
      </c>
    </row>
    <row r="242" spans="1:23" x14ac:dyDescent="0.25">
      <c r="A242" t="s">
        <v>51</v>
      </c>
      <c r="B242">
        <v>2</v>
      </c>
      <c r="C242" t="s">
        <v>26</v>
      </c>
      <c r="D242">
        <v>25.290526390075598</v>
      </c>
      <c r="E242">
        <v>0</v>
      </c>
      <c r="F242">
        <v>0</v>
      </c>
      <c r="G242">
        <v>3.35</v>
      </c>
      <c r="H242" t="s">
        <v>27</v>
      </c>
      <c r="I242">
        <v>72.28</v>
      </c>
      <c r="J242">
        <v>67.84</v>
      </c>
      <c r="K242">
        <v>4.4400000000000102</v>
      </c>
      <c r="L242">
        <v>10</v>
      </c>
      <c r="M242">
        <v>10</v>
      </c>
      <c r="N242">
        <v>12</v>
      </c>
      <c r="O242">
        <v>10</v>
      </c>
      <c r="P242">
        <v>12</v>
      </c>
      <c r="Q242">
        <v>2.93</v>
      </c>
      <c r="R242">
        <v>3.59</v>
      </c>
      <c r="S242">
        <v>2.93</v>
      </c>
      <c r="T242">
        <v>3.4638</v>
      </c>
      <c r="U242">
        <v>3.35</v>
      </c>
      <c r="V242">
        <v>0.52999999999999903</v>
      </c>
      <c r="W242">
        <v>0</v>
      </c>
    </row>
    <row r="243" spans="1:23" x14ac:dyDescent="0.25">
      <c r="A243" t="s">
        <v>51</v>
      </c>
      <c r="B243">
        <v>3</v>
      </c>
      <c r="C243" t="s">
        <v>24</v>
      </c>
      <c r="D243">
        <v>28.891942739486598</v>
      </c>
      <c r="E243">
        <v>1.7969999999999999</v>
      </c>
      <c r="F243">
        <v>1.7999999999999901</v>
      </c>
      <c r="G243">
        <v>0</v>
      </c>
      <c r="H243" t="s">
        <v>25</v>
      </c>
      <c r="I243">
        <v>71.39</v>
      </c>
      <c r="J243">
        <v>69.64</v>
      </c>
      <c r="K243">
        <v>1.75000000000001</v>
      </c>
      <c r="L243">
        <v>10</v>
      </c>
    </row>
    <row r="244" spans="1:23" x14ac:dyDescent="0.25">
      <c r="A244" t="s">
        <v>52</v>
      </c>
      <c r="B244">
        <v>1</v>
      </c>
      <c r="C244" t="s">
        <v>24</v>
      </c>
      <c r="D244">
        <v>16.908594369888299</v>
      </c>
      <c r="E244">
        <v>1.7319</v>
      </c>
      <c r="F244">
        <v>1.74</v>
      </c>
      <c r="G244">
        <v>0</v>
      </c>
      <c r="H244" t="s">
        <v>25</v>
      </c>
      <c r="I244">
        <v>74.06</v>
      </c>
      <c r="J244">
        <v>74.150000000000006</v>
      </c>
      <c r="K244">
        <v>-9.0000000000003397E-2</v>
      </c>
      <c r="L244">
        <v>6</v>
      </c>
    </row>
    <row r="245" spans="1:23" x14ac:dyDescent="0.25">
      <c r="A245" t="s">
        <v>52</v>
      </c>
      <c r="B245">
        <v>2</v>
      </c>
      <c r="C245" t="s">
        <v>24</v>
      </c>
      <c r="D245">
        <v>42.247342109680098</v>
      </c>
      <c r="E245">
        <v>1.6689000000000001</v>
      </c>
      <c r="F245">
        <v>1.67</v>
      </c>
      <c r="G245">
        <v>0</v>
      </c>
      <c r="H245" t="s">
        <v>25</v>
      </c>
      <c r="I245">
        <v>69.22</v>
      </c>
      <c r="J245">
        <v>70.03</v>
      </c>
      <c r="K245">
        <v>-0.80999999999998795</v>
      </c>
      <c r="L245">
        <v>15</v>
      </c>
    </row>
    <row r="246" spans="1:23" x14ac:dyDescent="0.25">
      <c r="A246" t="s">
        <v>52</v>
      </c>
      <c r="B246">
        <v>3</v>
      </c>
      <c r="C246" t="s">
        <v>24</v>
      </c>
      <c r="D246">
        <v>52.2322127819061</v>
      </c>
      <c r="E246">
        <v>1.7319</v>
      </c>
      <c r="F246">
        <v>1.74</v>
      </c>
      <c r="G246">
        <v>0</v>
      </c>
      <c r="H246" t="s">
        <v>25</v>
      </c>
      <c r="I246">
        <v>69.069999999999993</v>
      </c>
      <c r="J246">
        <v>70.63</v>
      </c>
      <c r="K246">
        <v>-1.5599999999999801</v>
      </c>
      <c r="L246">
        <v>18</v>
      </c>
    </row>
    <row r="247" spans="1:23" x14ac:dyDescent="0.25">
      <c r="A247" t="s">
        <v>52</v>
      </c>
      <c r="B247">
        <v>4</v>
      </c>
      <c r="C247" t="s">
        <v>26</v>
      </c>
      <c r="D247">
        <v>52.852183580398503</v>
      </c>
      <c r="E247">
        <v>0</v>
      </c>
      <c r="F247">
        <v>0.56000000000000005</v>
      </c>
      <c r="G247">
        <v>3.35</v>
      </c>
      <c r="H247" t="s">
        <v>27</v>
      </c>
      <c r="I247">
        <v>71.373999999999995</v>
      </c>
      <c r="J247">
        <v>69.45</v>
      </c>
      <c r="K247">
        <v>1.9239999999999999</v>
      </c>
      <c r="L247">
        <v>18</v>
      </c>
      <c r="M247">
        <v>18</v>
      </c>
      <c r="N247">
        <v>19</v>
      </c>
      <c r="O247">
        <v>18</v>
      </c>
      <c r="P247">
        <v>19</v>
      </c>
      <c r="Q247">
        <v>4.1500000000000004</v>
      </c>
      <c r="R247">
        <v>3.46</v>
      </c>
      <c r="S247">
        <v>4.1500000000000004</v>
      </c>
      <c r="T247">
        <v>3.5939999999999999</v>
      </c>
      <c r="U247">
        <v>3.35</v>
      </c>
      <c r="V247">
        <v>1.74</v>
      </c>
      <c r="W247">
        <v>0.56000000000000005</v>
      </c>
    </row>
    <row r="248" spans="1:23" x14ac:dyDescent="0.25">
      <c r="A248" t="s">
        <v>52</v>
      </c>
      <c r="B248">
        <v>5</v>
      </c>
      <c r="C248" t="s">
        <v>24</v>
      </c>
      <c r="D248">
        <v>62.417165756225501</v>
      </c>
      <c r="E248">
        <v>1.8096000000000001</v>
      </c>
      <c r="F248">
        <v>1.8099999999999901</v>
      </c>
      <c r="G248">
        <v>0</v>
      </c>
      <c r="H248" t="s">
        <v>25</v>
      </c>
      <c r="I248">
        <v>71.293999999999997</v>
      </c>
      <c r="J248">
        <v>67.81</v>
      </c>
      <c r="K248">
        <v>3.484</v>
      </c>
      <c r="L248">
        <v>22</v>
      </c>
    </row>
    <row r="249" spans="1:23" x14ac:dyDescent="0.25">
      <c r="A249" t="s">
        <v>52</v>
      </c>
      <c r="B249">
        <v>6</v>
      </c>
      <c r="C249" t="s">
        <v>24</v>
      </c>
      <c r="D249">
        <v>64.284272670745807</v>
      </c>
      <c r="E249">
        <v>3.6192000000000002</v>
      </c>
      <c r="F249">
        <v>3.62</v>
      </c>
      <c r="G249">
        <v>0</v>
      </c>
      <c r="H249" t="s">
        <v>25</v>
      </c>
      <c r="I249">
        <v>74.914000000000001</v>
      </c>
      <c r="J249">
        <v>71.430000000000007</v>
      </c>
      <c r="K249">
        <v>3.4839999999999902</v>
      </c>
      <c r="L249">
        <v>22</v>
      </c>
    </row>
    <row r="250" spans="1:23" x14ac:dyDescent="0.25">
      <c r="A250" t="s">
        <v>52</v>
      </c>
      <c r="B250">
        <v>7</v>
      </c>
      <c r="C250" t="s">
        <v>26</v>
      </c>
      <c r="D250">
        <v>66.328503131866398</v>
      </c>
      <c r="E250">
        <v>0</v>
      </c>
      <c r="F250">
        <v>3.95</v>
      </c>
      <c r="G250">
        <v>3.35</v>
      </c>
      <c r="H250" t="s">
        <v>27</v>
      </c>
      <c r="I250">
        <v>76.757999999999996</v>
      </c>
      <c r="J250">
        <v>69.95</v>
      </c>
      <c r="K250">
        <v>6.8079999999999901</v>
      </c>
      <c r="L250">
        <v>22</v>
      </c>
      <c r="M250">
        <v>22</v>
      </c>
      <c r="N250">
        <v>23</v>
      </c>
      <c r="O250">
        <v>22</v>
      </c>
      <c r="P250">
        <v>23</v>
      </c>
      <c r="Q250">
        <v>7.54</v>
      </c>
      <c r="R250">
        <v>3.62</v>
      </c>
      <c r="S250">
        <v>7.54</v>
      </c>
      <c r="T250">
        <v>3.5939999999999999</v>
      </c>
      <c r="U250">
        <v>3.35</v>
      </c>
      <c r="V250">
        <v>5.43</v>
      </c>
      <c r="W250">
        <v>3.95</v>
      </c>
    </row>
    <row r="251" spans="1:23" x14ac:dyDescent="0.25">
      <c r="A251" t="s">
        <v>53</v>
      </c>
      <c r="B251">
        <v>1</v>
      </c>
      <c r="C251" t="s">
        <v>24</v>
      </c>
      <c r="D251">
        <v>50.813957214355398</v>
      </c>
      <c r="E251">
        <v>1.7319</v>
      </c>
      <c r="F251">
        <v>1.74</v>
      </c>
      <c r="G251">
        <v>0</v>
      </c>
      <c r="H251" t="s">
        <v>25</v>
      </c>
      <c r="I251">
        <v>69.12</v>
      </c>
      <c r="J251">
        <v>69.209999999999994</v>
      </c>
      <c r="K251">
        <v>-8.99999999999892E-2</v>
      </c>
      <c r="L251">
        <v>18</v>
      </c>
    </row>
    <row r="252" spans="1:23" x14ac:dyDescent="0.25">
      <c r="A252" t="s">
        <v>53</v>
      </c>
      <c r="B252">
        <v>2</v>
      </c>
      <c r="C252" t="s">
        <v>24</v>
      </c>
      <c r="D252">
        <v>52.520458698272698</v>
      </c>
      <c r="E252">
        <v>3.4638</v>
      </c>
      <c r="F252">
        <v>3.46</v>
      </c>
      <c r="G252">
        <v>0</v>
      </c>
      <c r="H252" t="s">
        <v>25</v>
      </c>
      <c r="I252">
        <v>72.58</v>
      </c>
      <c r="J252">
        <v>72.67</v>
      </c>
      <c r="K252">
        <v>-8.99999999999892E-2</v>
      </c>
      <c r="L252">
        <v>18</v>
      </c>
    </row>
    <row r="253" spans="1:23" x14ac:dyDescent="0.25">
      <c r="A253" t="s">
        <v>53</v>
      </c>
      <c r="B253">
        <v>3</v>
      </c>
      <c r="C253" t="s">
        <v>24</v>
      </c>
      <c r="D253">
        <v>55.984373092651303</v>
      </c>
      <c r="E253">
        <v>6.9276</v>
      </c>
      <c r="F253">
        <v>6.93</v>
      </c>
      <c r="G253">
        <v>0</v>
      </c>
      <c r="H253" t="s">
        <v>25</v>
      </c>
      <c r="I253">
        <v>79.513999999999996</v>
      </c>
      <c r="J253">
        <v>76.98</v>
      </c>
      <c r="K253">
        <v>2.53399999999999</v>
      </c>
      <c r="L253">
        <v>18</v>
      </c>
    </row>
    <row r="254" spans="1:23" x14ac:dyDescent="0.25">
      <c r="A254" t="s">
        <v>53</v>
      </c>
      <c r="B254">
        <v>4</v>
      </c>
      <c r="C254" t="s">
        <v>24</v>
      </c>
      <c r="D254">
        <v>62.885695934295597</v>
      </c>
      <c r="E254">
        <v>6.9276</v>
      </c>
      <c r="F254">
        <v>6.92</v>
      </c>
      <c r="G254">
        <v>0</v>
      </c>
      <c r="H254" t="s">
        <v>25</v>
      </c>
      <c r="I254">
        <v>86.433999999999997</v>
      </c>
      <c r="J254">
        <v>82.93</v>
      </c>
      <c r="K254">
        <v>3.5039999999999898</v>
      </c>
      <c r="L254">
        <v>18</v>
      </c>
    </row>
    <row r="255" spans="1:23" x14ac:dyDescent="0.25">
      <c r="A255" t="s">
        <v>53</v>
      </c>
      <c r="B255">
        <v>5</v>
      </c>
      <c r="C255" t="s">
        <v>24</v>
      </c>
      <c r="D255">
        <v>69.865885496139498</v>
      </c>
      <c r="E255">
        <v>6.9276</v>
      </c>
      <c r="F255">
        <v>6.93</v>
      </c>
      <c r="G255">
        <v>0</v>
      </c>
      <c r="H255" t="s">
        <v>25</v>
      </c>
      <c r="I255">
        <v>93.364000000000004</v>
      </c>
      <c r="J255">
        <v>89.86</v>
      </c>
      <c r="K255">
        <v>3.504</v>
      </c>
      <c r="L255">
        <v>18</v>
      </c>
    </row>
    <row r="256" spans="1:23" x14ac:dyDescent="0.25">
      <c r="A256" t="s">
        <v>53</v>
      </c>
      <c r="B256">
        <v>6</v>
      </c>
      <c r="C256" t="s">
        <v>24</v>
      </c>
      <c r="D256">
        <v>77.110857725143404</v>
      </c>
      <c r="E256">
        <v>2.9619</v>
      </c>
      <c r="F256">
        <v>2.97</v>
      </c>
      <c r="G256">
        <v>0</v>
      </c>
      <c r="H256" t="s">
        <v>25</v>
      </c>
      <c r="I256">
        <v>90.653999999999996</v>
      </c>
      <c r="J256">
        <v>87.24</v>
      </c>
      <c r="K256">
        <v>3.4140000000000001</v>
      </c>
      <c r="L256">
        <v>21</v>
      </c>
    </row>
    <row r="257" spans="1:23" x14ac:dyDescent="0.25">
      <c r="A257" t="s">
        <v>53</v>
      </c>
      <c r="B257">
        <v>7</v>
      </c>
      <c r="C257" t="s">
        <v>24</v>
      </c>
      <c r="D257">
        <v>80.087828397750798</v>
      </c>
      <c r="E257">
        <v>5.9238</v>
      </c>
      <c r="F257">
        <v>5.92</v>
      </c>
      <c r="G257">
        <v>0</v>
      </c>
      <c r="H257" t="s">
        <v>25</v>
      </c>
      <c r="I257">
        <v>96.573999999999998</v>
      </c>
      <c r="J257">
        <v>93.16</v>
      </c>
      <c r="K257">
        <v>3.4140000000000001</v>
      </c>
      <c r="L257">
        <v>21</v>
      </c>
    </row>
    <row r="258" spans="1:23" x14ac:dyDescent="0.25">
      <c r="A258" t="s">
        <v>54</v>
      </c>
      <c r="B258">
        <v>1</v>
      </c>
      <c r="C258" t="s">
        <v>24</v>
      </c>
      <c r="D258">
        <v>20.784578561782801</v>
      </c>
      <c r="E258">
        <v>1.7319</v>
      </c>
      <c r="F258">
        <v>1.74</v>
      </c>
      <c r="G258">
        <v>0</v>
      </c>
      <c r="H258" t="s">
        <v>25</v>
      </c>
      <c r="I258">
        <v>74.3</v>
      </c>
      <c r="J258">
        <v>74.400000000000006</v>
      </c>
      <c r="K258">
        <v>-0.100000000000008</v>
      </c>
      <c r="L258">
        <v>6</v>
      </c>
    </row>
    <row r="259" spans="1:23" x14ac:dyDescent="0.25">
      <c r="A259" t="s">
        <v>54</v>
      </c>
      <c r="B259">
        <v>2</v>
      </c>
      <c r="C259" t="s">
        <v>24</v>
      </c>
      <c r="D259">
        <v>22.487984418869001</v>
      </c>
      <c r="E259">
        <v>3.4638</v>
      </c>
      <c r="F259">
        <v>3.46</v>
      </c>
      <c r="G259">
        <v>0</v>
      </c>
      <c r="H259" t="s">
        <v>25</v>
      </c>
      <c r="I259">
        <v>77.760000000000005</v>
      </c>
      <c r="J259">
        <v>77.86</v>
      </c>
      <c r="K259">
        <v>-9.9999999999994302E-2</v>
      </c>
      <c r="L259">
        <v>6</v>
      </c>
    </row>
    <row r="260" spans="1:23" x14ac:dyDescent="0.25">
      <c r="A260" t="s">
        <v>54</v>
      </c>
      <c r="B260">
        <v>3</v>
      </c>
      <c r="C260" t="s">
        <v>24</v>
      </c>
      <c r="D260">
        <v>25.934334516525201</v>
      </c>
      <c r="E260">
        <v>6.9276</v>
      </c>
      <c r="F260">
        <v>6.93</v>
      </c>
      <c r="G260">
        <v>0</v>
      </c>
      <c r="H260" t="s">
        <v>25</v>
      </c>
      <c r="I260">
        <v>84.69</v>
      </c>
      <c r="J260">
        <v>84.79</v>
      </c>
      <c r="K260">
        <v>-9.9999999999994302E-2</v>
      </c>
      <c r="L260">
        <v>6</v>
      </c>
    </row>
    <row r="261" spans="1:23" x14ac:dyDescent="0.25">
      <c r="A261" t="s">
        <v>54</v>
      </c>
      <c r="B261">
        <v>4</v>
      </c>
      <c r="C261" t="s">
        <v>24</v>
      </c>
      <c r="D261">
        <v>37.523416519165004</v>
      </c>
      <c r="E261">
        <v>2.9619</v>
      </c>
      <c r="F261">
        <v>2.97</v>
      </c>
      <c r="G261">
        <v>0</v>
      </c>
      <c r="H261" t="s">
        <v>25</v>
      </c>
      <c r="I261">
        <v>86.3</v>
      </c>
      <c r="J261">
        <v>86.48</v>
      </c>
      <c r="K261">
        <v>-0.179999999999992</v>
      </c>
      <c r="L261">
        <v>9</v>
      </c>
    </row>
    <row r="262" spans="1:23" x14ac:dyDescent="0.25">
      <c r="A262" t="s">
        <v>54</v>
      </c>
      <c r="B262">
        <v>5</v>
      </c>
      <c r="C262" t="s">
        <v>24</v>
      </c>
      <c r="D262">
        <v>46.772477388381901</v>
      </c>
      <c r="E262">
        <v>1.7969999999999999</v>
      </c>
      <c r="F262">
        <v>1.7999999999999901</v>
      </c>
      <c r="G262">
        <v>0</v>
      </c>
      <c r="H262" t="s">
        <v>25</v>
      </c>
      <c r="I262">
        <v>87.22</v>
      </c>
      <c r="J262">
        <v>87.47</v>
      </c>
      <c r="K262">
        <v>-0.25</v>
      </c>
      <c r="L262">
        <v>10</v>
      </c>
    </row>
    <row r="263" spans="1:23" x14ac:dyDescent="0.25">
      <c r="A263" t="s">
        <v>54</v>
      </c>
      <c r="B263">
        <v>6</v>
      </c>
      <c r="C263" t="s">
        <v>24</v>
      </c>
      <c r="D263">
        <v>53.571015119552598</v>
      </c>
      <c r="E263">
        <v>2.9619</v>
      </c>
      <c r="F263">
        <v>2.97</v>
      </c>
      <c r="G263">
        <v>0</v>
      </c>
      <c r="H263" t="s">
        <v>25</v>
      </c>
      <c r="I263">
        <v>89.21</v>
      </c>
      <c r="J263">
        <v>89.53</v>
      </c>
      <c r="K263">
        <v>-0.31999999999999301</v>
      </c>
      <c r="L263">
        <v>13</v>
      </c>
    </row>
    <row r="264" spans="1:23" x14ac:dyDescent="0.25">
      <c r="A264" t="s">
        <v>54</v>
      </c>
      <c r="B264">
        <v>7</v>
      </c>
      <c r="C264" t="s">
        <v>24</v>
      </c>
      <c r="D264">
        <v>58.5614879131317</v>
      </c>
      <c r="E264">
        <v>1.79</v>
      </c>
      <c r="F264">
        <v>1.79</v>
      </c>
      <c r="G264">
        <v>0</v>
      </c>
      <c r="H264" t="s">
        <v>25</v>
      </c>
      <c r="I264">
        <v>89.45</v>
      </c>
      <c r="J264">
        <v>89.8</v>
      </c>
      <c r="K264">
        <v>-0.34999999999999398</v>
      </c>
      <c r="L264">
        <v>14</v>
      </c>
    </row>
    <row r="265" spans="1:23" x14ac:dyDescent="0.25">
      <c r="A265" t="s">
        <v>54</v>
      </c>
      <c r="B265">
        <v>8</v>
      </c>
      <c r="C265" t="s">
        <v>24</v>
      </c>
      <c r="D265">
        <v>60.3443312644958</v>
      </c>
      <c r="E265">
        <v>3.58</v>
      </c>
      <c r="F265">
        <v>3.5799999999999899</v>
      </c>
      <c r="G265">
        <v>0</v>
      </c>
      <c r="H265" t="s">
        <v>25</v>
      </c>
      <c r="I265">
        <v>93.03</v>
      </c>
      <c r="J265">
        <v>93.38</v>
      </c>
      <c r="K265">
        <v>-0.34999999999997999</v>
      </c>
      <c r="L265">
        <v>14</v>
      </c>
    </row>
    <row r="266" spans="1:23" x14ac:dyDescent="0.25">
      <c r="A266" t="s">
        <v>54</v>
      </c>
      <c r="B266">
        <v>9</v>
      </c>
      <c r="C266" t="s">
        <v>24</v>
      </c>
      <c r="D266">
        <v>63.946907758712698</v>
      </c>
      <c r="E266">
        <v>7.16</v>
      </c>
      <c r="F266">
        <v>7.16</v>
      </c>
      <c r="G266">
        <v>0</v>
      </c>
      <c r="H266" t="s">
        <v>25</v>
      </c>
      <c r="I266">
        <v>100.1878</v>
      </c>
      <c r="J266">
        <v>98.57</v>
      </c>
      <c r="K266">
        <v>1.6178000000000099</v>
      </c>
      <c r="L266">
        <v>14</v>
      </c>
    </row>
    <row r="267" spans="1:23" x14ac:dyDescent="0.25">
      <c r="A267" t="s">
        <v>54</v>
      </c>
      <c r="B267">
        <v>10</v>
      </c>
      <c r="C267" t="s">
        <v>24</v>
      </c>
      <c r="D267">
        <v>71.084399700164795</v>
      </c>
      <c r="E267">
        <v>7.16</v>
      </c>
      <c r="F267">
        <v>7.16</v>
      </c>
      <c r="G267">
        <v>0</v>
      </c>
      <c r="H267" t="s">
        <v>25</v>
      </c>
      <c r="I267">
        <v>107.34780000000001</v>
      </c>
      <c r="J267">
        <v>104.36</v>
      </c>
      <c r="K267">
        <v>2.9878</v>
      </c>
      <c r="L267">
        <v>14</v>
      </c>
    </row>
    <row r="268" spans="1:23" x14ac:dyDescent="0.25">
      <c r="A268" t="s">
        <v>54</v>
      </c>
      <c r="B268">
        <v>11</v>
      </c>
      <c r="C268" t="s">
        <v>24</v>
      </c>
      <c r="D268">
        <v>80.720545768737793</v>
      </c>
      <c r="E268">
        <v>2.9619</v>
      </c>
      <c r="F268">
        <v>2.97</v>
      </c>
      <c r="G268">
        <v>0</v>
      </c>
      <c r="H268" t="s">
        <v>25</v>
      </c>
      <c r="I268">
        <v>106.7878</v>
      </c>
      <c r="J268">
        <v>103.87</v>
      </c>
      <c r="K268">
        <v>2.91779999999999</v>
      </c>
      <c r="L268">
        <v>17</v>
      </c>
    </row>
    <row r="269" spans="1:23" x14ac:dyDescent="0.25">
      <c r="A269" t="s">
        <v>55</v>
      </c>
      <c r="B269">
        <v>1</v>
      </c>
      <c r="C269" t="s">
        <v>26</v>
      </c>
      <c r="D269">
        <v>62.107777595519998</v>
      </c>
      <c r="E269">
        <v>0</v>
      </c>
      <c r="F269">
        <v>0</v>
      </c>
      <c r="G269">
        <v>3.35</v>
      </c>
      <c r="H269" t="s">
        <v>27</v>
      </c>
      <c r="I269">
        <v>67.69</v>
      </c>
      <c r="J269">
        <v>67.45</v>
      </c>
      <c r="K269">
        <v>0.239999999999994</v>
      </c>
      <c r="L269">
        <v>22</v>
      </c>
      <c r="M269">
        <v>22</v>
      </c>
      <c r="N269">
        <v>23</v>
      </c>
      <c r="O269">
        <v>22</v>
      </c>
      <c r="P269">
        <v>23</v>
      </c>
      <c r="Q269">
        <v>2.2799999999999998</v>
      </c>
      <c r="R269">
        <v>3.62</v>
      </c>
      <c r="S269">
        <v>2.2799999999999998</v>
      </c>
      <c r="T269">
        <v>3.5939999999999999</v>
      </c>
      <c r="U269">
        <v>3.35</v>
      </c>
      <c r="V269">
        <v>1.31</v>
      </c>
      <c r="W269">
        <v>0</v>
      </c>
    </row>
    <row r="270" spans="1:23" x14ac:dyDescent="0.25">
      <c r="A270" t="s">
        <v>55</v>
      </c>
      <c r="B270">
        <v>2</v>
      </c>
      <c r="C270" t="s">
        <v>24</v>
      </c>
      <c r="D270">
        <v>65.749366044998098</v>
      </c>
      <c r="E270">
        <v>1.8096000000000001</v>
      </c>
      <c r="F270">
        <v>1.8099999999999901</v>
      </c>
      <c r="G270">
        <v>0</v>
      </c>
      <c r="H270" t="s">
        <v>25</v>
      </c>
      <c r="I270">
        <v>67.489999999999995</v>
      </c>
      <c r="J270">
        <v>67.540000000000006</v>
      </c>
      <c r="K270">
        <v>-4.9999999999997102E-2</v>
      </c>
      <c r="L270">
        <v>22</v>
      </c>
    </row>
    <row r="271" spans="1:23" x14ac:dyDescent="0.25">
      <c r="A271" t="s">
        <v>56</v>
      </c>
      <c r="B271">
        <v>1</v>
      </c>
      <c r="C271" t="s">
        <v>24</v>
      </c>
      <c r="D271">
        <v>16.7538502216339</v>
      </c>
      <c r="E271">
        <v>1.7319</v>
      </c>
      <c r="F271">
        <v>1.74</v>
      </c>
      <c r="G271">
        <v>0</v>
      </c>
      <c r="H271" t="s">
        <v>25</v>
      </c>
      <c r="I271">
        <v>73.91</v>
      </c>
      <c r="J271">
        <v>73.959999999999994</v>
      </c>
      <c r="K271">
        <v>-4.9999999999982898E-2</v>
      </c>
      <c r="L271">
        <v>6</v>
      </c>
    </row>
    <row r="272" spans="1:23" x14ac:dyDescent="0.25">
      <c r="A272" t="s">
        <v>56</v>
      </c>
      <c r="B272">
        <v>2</v>
      </c>
      <c r="C272" t="s">
        <v>24</v>
      </c>
      <c r="D272">
        <v>25.4643921852111</v>
      </c>
      <c r="E272">
        <v>2.9619</v>
      </c>
      <c r="F272">
        <v>2.97</v>
      </c>
      <c r="G272">
        <v>0</v>
      </c>
      <c r="H272" t="s">
        <v>25</v>
      </c>
      <c r="I272">
        <v>74.28</v>
      </c>
      <c r="J272">
        <v>74.42</v>
      </c>
      <c r="K272">
        <v>-0.14000000000000001</v>
      </c>
      <c r="L272">
        <v>9</v>
      </c>
    </row>
    <row r="273" spans="1:12" x14ac:dyDescent="0.25">
      <c r="A273" t="s">
        <v>56</v>
      </c>
      <c r="B273">
        <v>3</v>
      </c>
      <c r="C273" t="s">
        <v>24</v>
      </c>
      <c r="D273">
        <v>30.331681489944401</v>
      </c>
      <c r="E273">
        <v>1.7319</v>
      </c>
      <c r="F273">
        <v>1.74</v>
      </c>
      <c r="G273">
        <v>0</v>
      </c>
      <c r="H273" t="s">
        <v>25</v>
      </c>
      <c r="I273">
        <v>74.42</v>
      </c>
      <c r="J273">
        <v>74.599999999999994</v>
      </c>
      <c r="K273">
        <v>-0.179999999999992</v>
      </c>
      <c r="L273">
        <v>12</v>
      </c>
    </row>
    <row r="274" spans="1:12" x14ac:dyDescent="0.25">
      <c r="A274" t="s">
        <v>56</v>
      </c>
      <c r="B274">
        <v>4</v>
      </c>
      <c r="C274" t="s">
        <v>24</v>
      </c>
      <c r="D274">
        <v>42.213647127151397</v>
      </c>
      <c r="E274">
        <v>1.79</v>
      </c>
      <c r="F274">
        <v>1.79</v>
      </c>
      <c r="G274">
        <v>0</v>
      </c>
      <c r="H274" t="s">
        <v>25</v>
      </c>
      <c r="I274">
        <v>73.12</v>
      </c>
      <c r="J274">
        <v>73.459999999999994</v>
      </c>
      <c r="K274">
        <v>-0.33999999999998898</v>
      </c>
      <c r="L274">
        <v>14</v>
      </c>
    </row>
    <row r="275" spans="1:12" x14ac:dyDescent="0.25">
      <c r="A275" t="s">
        <v>56</v>
      </c>
      <c r="B275">
        <v>5</v>
      </c>
      <c r="C275" t="s">
        <v>24</v>
      </c>
      <c r="D275">
        <v>44.004398107528601</v>
      </c>
      <c r="E275">
        <v>3.58</v>
      </c>
      <c r="F275">
        <v>3.5799999999999899</v>
      </c>
      <c r="G275">
        <v>0</v>
      </c>
      <c r="H275" t="s">
        <v>25</v>
      </c>
      <c r="I275">
        <v>76.7</v>
      </c>
      <c r="J275">
        <v>77.040000000000006</v>
      </c>
      <c r="K275">
        <v>-0.33999999999998898</v>
      </c>
      <c r="L275">
        <v>14</v>
      </c>
    </row>
    <row r="276" spans="1:12" x14ac:dyDescent="0.25">
      <c r="A276" t="s">
        <v>56</v>
      </c>
      <c r="B276">
        <v>6</v>
      </c>
      <c r="C276" t="s">
        <v>24</v>
      </c>
      <c r="D276">
        <v>56.250961303710902</v>
      </c>
      <c r="E276">
        <v>1.7319</v>
      </c>
      <c r="F276">
        <v>1.74</v>
      </c>
      <c r="G276">
        <v>0</v>
      </c>
      <c r="H276" t="s">
        <v>25</v>
      </c>
      <c r="I276">
        <v>74.2</v>
      </c>
      <c r="J276">
        <v>74.67</v>
      </c>
      <c r="K276">
        <v>-0.46999999999998399</v>
      </c>
      <c r="L276">
        <v>18</v>
      </c>
    </row>
    <row r="277" spans="1:12" x14ac:dyDescent="0.25">
      <c r="A277" t="s">
        <v>56</v>
      </c>
      <c r="B277">
        <v>7</v>
      </c>
      <c r="C277" t="s">
        <v>24</v>
      </c>
      <c r="D277">
        <v>57.979579925537102</v>
      </c>
      <c r="E277">
        <v>3.4638</v>
      </c>
      <c r="F277">
        <v>3.46</v>
      </c>
      <c r="G277">
        <v>0</v>
      </c>
      <c r="H277" t="s">
        <v>25</v>
      </c>
      <c r="I277">
        <v>77.66</v>
      </c>
      <c r="J277">
        <v>78.13</v>
      </c>
      <c r="K277">
        <v>-0.46999999999997</v>
      </c>
      <c r="L277">
        <v>18</v>
      </c>
    </row>
    <row r="278" spans="1:12" x14ac:dyDescent="0.25">
      <c r="A278" t="s">
        <v>56</v>
      </c>
      <c r="B278">
        <v>8</v>
      </c>
      <c r="C278" t="s">
        <v>24</v>
      </c>
      <c r="D278">
        <v>61.426910400390597</v>
      </c>
      <c r="E278">
        <v>6.9276</v>
      </c>
      <c r="F278">
        <v>6.93</v>
      </c>
      <c r="G278">
        <v>0</v>
      </c>
      <c r="H278" t="s">
        <v>25</v>
      </c>
      <c r="I278">
        <v>84.593999999999994</v>
      </c>
      <c r="J278">
        <v>82.42</v>
      </c>
      <c r="K278">
        <v>2.1739999999999999</v>
      </c>
      <c r="L278">
        <v>18</v>
      </c>
    </row>
    <row r="279" spans="1:12" x14ac:dyDescent="0.25">
      <c r="A279" t="s">
        <v>56</v>
      </c>
      <c r="B279">
        <v>9</v>
      </c>
      <c r="C279" t="s">
        <v>24</v>
      </c>
      <c r="D279">
        <v>68.3463361263275</v>
      </c>
      <c r="E279">
        <v>6.9276</v>
      </c>
      <c r="F279">
        <v>6.92</v>
      </c>
      <c r="G279">
        <v>0</v>
      </c>
      <c r="H279" t="s">
        <v>25</v>
      </c>
      <c r="I279">
        <v>91.513999999999996</v>
      </c>
      <c r="J279">
        <v>88.39</v>
      </c>
      <c r="K279">
        <v>3.1240000000000001</v>
      </c>
      <c r="L279">
        <v>18</v>
      </c>
    </row>
    <row r="280" spans="1:12" x14ac:dyDescent="0.25">
      <c r="A280" t="s">
        <v>56</v>
      </c>
      <c r="B280">
        <v>10</v>
      </c>
      <c r="C280" t="s">
        <v>24</v>
      </c>
      <c r="D280">
        <v>75.286082983016897</v>
      </c>
      <c r="E280">
        <v>6.9276</v>
      </c>
      <c r="F280">
        <v>6.93</v>
      </c>
      <c r="G280">
        <v>0</v>
      </c>
      <c r="H280" t="s">
        <v>25</v>
      </c>
      <c r="I280">
        <v>98.444000000000003</v>
      </c>
      <c r="J280">
        <v>95.32</v>
      </c>
      <c r="K280">
        <v>3.1240000000000201</v>
      </c>
      <c r="L280">
        <v>18</v>
      </c>
    </row>
    <row r="281" spans="1:12" x14ac:dyDescent="0.25">
      <c r="A281" t="s">
        <v>56</v>
      </c>
      <c r="B281">
        <v>11</v>
      </c>
      <c r="C281" t="s">
        <v>24</v>
      </c>
      <c r="D281">
        <v>82.226052522659302</v>
      </c>
      <c r="E281">
        <v>6.9276</v>
      </c>
      <c r="F281">
        <v>6.9299999999999899</v>
      </c>
      <c r="G281">
        <v>0</v>
      </c>
      <c r="H281" t="s">
        <v>25</v>
      </c>
      <c r="I281">
        <v>105.374</v>
      </c>
      <c r="J281">
        <v>102.25</v>
      </c>
      <c r="K281">
        <v>3.1240000000000001</v>
      </c>
      <c r="L281">
        <v>18</v>
      </c>
    </row>
    <row r="282" spans="1:12" x14ac:dyDescent="0.25">
      <c r="A282" t="s">
        <v>57</v>
      </c>
      <c r="B282">
        <v>1</v>
      </c>
      <c r="C282" t="s">
        <v>24</v>
      </c>
      <c r="D282">
        <v>28.3029541969299</v>
      </c>
      <c r="E282">
        <v>1.7319</v>
      </c>
      <c r="F282">
        <v>1.74</v>
      </c>
      <c r="G282">
        <v>0</v>
      </c>
      <c r="H282" t="s">
        <v>25</v>
      </c>
      <c r="I282">
        <v>68.77</v>
      </c>
      <c r="J282">
        <v>68.97</v>
      </c>
      <c r="K282">
        <v>-0.19999999999998799</v>
      </c>
      <c r="L282">
        <v>12</v>
      </c>
    </row>
    <row r="283" spans="1:12" x14ac:dyDescent="0.25">
      <c r="A283" t="s">
        <v>57</v>
      </c>
      <c r="B283">
        <v>2</v>
      </c>
      <c r="C283" t="s">
        <v>24</v>
      </c>
      <c r="D283">
        <v>30.019299268722499</v>
      </c>
      <c r="E283">
        <v>3.4638</v>
      </c>
      <c r="F283">
        <v>3.46</v>
      </c>
      <c r="G283">
        <v>0</v>
      </c>
      <c r="H283" t="s">
        <v>25</v>
      </c>
      <c r="I283">
        <v>72.23</v>
      </c>
      <c r="J283">
        <v>72.44</v>
      </c>
      <c r="K283">
        <v>-0.20999999999997901</v>
      </c>
      <c r="L283">
        <v>12</v>
      </c>
    </row>
    <row r="284" spans="1:12" x14ac:dyDescent="0.25">
      <c r="A284" t="s">
        <v>57</v>
      </c>
      <c r="B284">
        <v>3</v>
      </c>
      <c r="C284" t="s">
        <v>24</v>
      </c>
      <c r="D284">
        <v>42.862515926360999</v>
      </c>
      <c r="E284">
        <v>1.6689000000000001</v>
      </c>
      <c r="F284">
        <v>1.67</v>
      </c>
      <c r="G284">
        <v>0</v>
      </c>
      <c r="H284" t="s">
        <v>25</v>
      </c>
      <c r="I284">
        <v>70.260000000000005</v>
      </c>
      <c r="J284">
        <v>70.61</v>
      </c>
      <c r="K284">
        <v>-0.34999999999999398</v>
      </c>
      <c r="L284">
        <v>15</v>
      </c>
    </row>
    <row r="285" spans="1:12" x14ac:dyDescent="0.25">
      <c r="A285" t="s">
        <v>57</v>
      </c>
      <c r="B285">
        <v>4</v>
      </c>
      <c r="C285" t="s">
        <v>24</v>
      </c>
      <c r="D285">
        <v>44.506972551345797</v>
      </c>
      <c r="E285">
        <v>3.3378000000000001</v>
      </c>
      <c r="F285">
        <v>3.33</v>
      </c>
      <c r="G285">
        <v>0</v>
      </c>
      <c r="H285" t="s">
        <v>25</v>
      </c>
      <c r="I285">
        <v>73.59</v>
      </c>
      <c r="J285">
        <v>73.94</v>
      </c>
      <c r="K285">
        <v>-0.34999999999999398</v>
      </c>
      <c r="L285">
        <v>15</v>
      </c>
    </row>
    <row r="286" spans="1:12" x14ac:dyDescent="0.25">
      <c r="A286" t="s">
        <v>57</v>
      </c>
      <c r="B286">
        <v>5</v>
      </c>
      <c r="C286" t="s">
        <v>24</v>
      </c>
      <c r="D286">
        <v>47.835912466049102</v>
      </c>
      <c r="E286">
        <v>6.6756000000000002</v>
      </c>
      <c r="F286">
        <v>6.68</v>
      </c>
      <c r="G286">
        <v>0</v>
      </c>
      <c r="H286" t="s">
        <v>25</v>
      </c>
      <c r="I286">
        <v>80.27</v>
      </c>
      <c r="J286">
        <v>80.62</v>
      </c>
      <c r="K286">
        <v>-0.34999999999999398</v>
      </c>
      <c r="L286">
        <v>15</v>
      </c>
    </row>
    <row r="287" spans="1:12" x14ac:dyDescent="0.25">
      <c r="A287" t="s">
        <v>58</v>
      </c>
      <c r="B287">
        <v>1</v>
      </c>
      <c r="C287" t="s">
        <v>24</v>
      </c>
      <c r="D287">
        <v>26.353202819824201</v>
      </c>
      <c r="E287">
        <v>1.7969999999999999</v>
      </c>
      <c r="F287">
        <v>1.7999999999999901</v>
      </c>
      <c r="G287">
        <v>0</v>
      </c>
      <c r="H287" t="s">
        <v>25</v>
      </c>
      <c r="I287">
        <v>70.14</v>
      </c>
      <c r="J287">
        <v>70.47</v>
      </c>
      <c r="K287">
        <v>-0.32999999999999802</v>
      </c>
      <c r="L287">
        <v>10</v>
      </c>
    </row>
    <row r="288" spans="1:12" x14ac:dyDescent="0.25">
      <c r="A288" t="s">
        <v>58</v>
      </c>
      <c r="B288">
        <v>2</v>
      </c>
      <c r="C288" t="s">
        <v>24</v>
      </c>
      <c r="D288">
        <v>28.093467950820902</v>
      </c>
      <c r="E288">
        <v>3.5939999999999999</v>
      </c>
      <c r="F288">
        <v>3.6</v>
      </c>
      <c r="G288">
        <v>0</v>
      </c>
      <c r="H288" t="s">
        <v>25</v>
      </c>
      <c r="I288">
        <v>73.739999999999995</v>
      </c>
      <c r="J288">
        <v>74.06</v>
      </c>
      <c r="K288">
        <v>-0.31999999999999301</v>
      </c>
      <c r="L288">
        <v>10</v>
      </c>
    </row>
    <row r="289" spans="1:23" x14ac:dyDescent="0.25">
      <c r="A289" t="s">
        <v>58</v>
      </c>
      <c r="B289">
        <v>3</v>
      </c>
      <c r="C289" t="s">
        <v>24</v>
      </c>
      <c r="D289">
        <v>31.720026254653899</v>
      </c>
      <c r="E289">
        <v>7.1879999999999997</v>
      </c>
      <c r="F289">
        <v>7.18</v>
      </c>
      <c r="G289">
        <v>0</v>
      </c>
      <c r="H289" t="s">
        <v>25</v>
      </c>
      <c r="I289">
        <v>80.9238</v>
      </c>
      <c r="J289">
        <v>78.959999999999994</v>
      </c>
      <c r="K289">
        <v>1.9638</v>
      </c>
      <c r="L289">
        <v>10</v>
      </c>
    </row>
    <row r="290" spans="1:23" x14ac:dyDescent="0.25">
      <c r="A290" t="s">
        <v>58</v>
      </c>
      <c r="B290">
        <v>4</v>
      </c>
      <c r="C290" t="s">
        <v>24</v>
      </c>
      <c r="D290">
        <v>38.887807130813599</v>
      </c>
      <c r="E290">
        <v>7.1879999999999997</v>
      </c>
      <c r="F290">
        <v>7.1899999999999897</v>
      </c>
      <c r="G290">
        <v>0</v>
      </c>
      <c r="H290" t="s">
        <v>25</v>
      </c>
      <c r="I290">
        <v>88.113799999999998</v>
      </c>
      <c r="J290">
        <v>84.98</v>
      </c>
      <c r="K290">
        <v>3.1337999999999901</v>
      </c>
      <c r="L290">
        <v>10</v>
      </c>
    </row>
    <row r="291" spans="1:23" x14ac:dyDescent="0.25">
      <c r="A291" t="s">
        <v>58</v>
      </c>
      <c r="B291">
        <v>5</v>
      </c>
      <c r="C291" t="s">
        <v>24</v>
      </c>
      <c r="D291">
        <v>63.373250961303697</v>
      </c>
      <c r="E291">
        <v>1.7319</v>
      </c>
      <c r="F291">
        <v>1.74</v>
      </c>
      <c r="G291">
        <v>0</v>
      </c>
      <c r="H291" t="s">
        <v>25</v>
      </c>
      <c r="I291">
        <v>84.493799999999993</v>
      </c>
      <c r="J291">
        <v>81.78</v>
      </c>
      <c r="K291">
        <v>2.7138</v>
      </c>
      <c r="L291">
        <v>18</v>
      </c>
    </row>
    <row r="292" spans="1:23" x14ac:dyDescent="0.25">
      <c r="A292" t="s">
        <v>58</v>
      </c>
      <c r="B292">
        <v>6</v>
      </c>
      <c r="C292" t="s">
        <v>24</v>
      </c>
      <c r="D292">
        <v>65.100783824920597</v>
      </c>
      <c r="E292">
        <v>3.4638</v>
      </c>
      <c r="F292">
        <v>3.46</v>
      </c>
      <c r="G292">
        <v>0</v>
      </c>
      <c r="H292" t="s">
        <v>25</v>
      </c>
      <c r="I292">
        <v>87.953800000000001</v>
      </c>
      <c r="J292">
        <v>85.25</v>
      </c>
      <c r="K292">
        <v>2.7038000000000002</v>
      </c>
      <c r="L292">
        <v>18</v>
      </c>
    </row>
    <row r="293" spans="1:23" x14ac:dyDescent="0.25">
      <c r="A293" t="s">
        <v>58</v>
      </c>
      <c r="B293">
        <v>7</v>
      </c>
      <c r="C293" t="s">
        <v>24</v>
      </c>
      <c r="D293">
        <v>68.6239333152771</v>
      </c>
      <c r="E293">
        <v>6.9276</v>
      </c>
      <c r="F293">
        <v>6.93</v>
      </c>
      <c r="G293">
        <v>0</v>
      </c>
      <c r="H293" t="s">
        <v>25</v>
      </c>
      <c r="I293">
        <v>94.887799999999999</v>
      </c>
      <c r="J293">
        <v>89.62</v>
      </c>
      <c r="K293">
        <v>5.2677999999999896</v>
      </c>
      <c r="L293">
        <v>18</v>
      </c>
    </row>
    <row r="294" spans="1:23" x14ac:dyDescent="0.25">
      <c r="A294" t="s">
        <v>58</v>
      </c>
      <c r="B294">
        <v>8</v>
      </c>
      <c r="C294" t="s">
        <v>24</v>
      </c>
      <c r="D294">
        <v>85.988074064254704</v>
      </c>
      <c r="E294">
        <v>1.8096000000000001</v>
      </c>
      <c r="F294">
        <v>1.8099999999999901</v>
      </c>
      <c r="G294">
        <v>0</v>
      </c>
      <c r="H294" t="s">
        <v>25</v>
      </c>
      <c r="I294">
        <v>90.287799999999905</v>
      </c>
      <c r="J294">
        <v>91.38</v>
      </c>
      <c r="K294">
        <v>-1.0922000000000101</v>
      </c>
      <c r="L294">
        <v>22</v>
      </c>
    </row>
    <row r="295" spans="1:23" x14ac:dyDescent="0.25">
      <c r="A295" t="s">
        <v>58</v>
      </c>
      <c r="B295">
        <v>9</v>
      </c>
      <c r="C295" t="s">
        <v>24</v>
      </c>
      <c r="D295">
        <v>87.888732433319007</v>
      </c>
      <c r="E295">
        <v>3.6192000000000002</v>
      </c>
      <c r="F295">
        <v>3.62</v>
      </c>
      <c r="G295">
        <v>0</v>
      </c>
      <c r="H295" t="s">
        <v>25</v>
      </c>
      <c r="I295">
        <v>93.907799999999895</v>
      </c>
      <c r="J295">
        <v>95</v>
      </c>
      <c r="K295">
        <v>-1.0922000000000101</v>
      </c>
      <c r="L295">
        <v>22</v>
      </c>
    </row>
    <row r="296" spans="1:23" x14ac:dyDescent="0.25">
      <c r="A296" t="s">
        <v>59</v>
      </c>
      <c r="B296">
        <v>1</v>
      </c>
      <c r="C296" t="s">
        <v>24</v>
      </c>
      <c r="D296">
        <v>26.808743476867601</v>
      </c>
      <c r="E296">
        <v>1.7969999999999999</v>
      </c>
      <c r="F296">
        <v>1.7999999999999901</v>
      </c>
      <c r="G296">
        <v>0</v>
      </c>
      <c r="H296" t="s">
        <v>25</v>
      </c>
      <c r="I296">
        <v>70.819999999999993</v>
      </c>
      <c r="J296">
        <v>71.010000000000005</v>
      </c>
      <c r="K296">
        <v>-0.189999999999997</v>
      </c>
      <c r="L296">
        <v>10</v>
      </c>
    </row>
    <row r="297" spans="1:23" x14ac:dyDescent="0.25">
      <c r="A297" t="s">
        <v>59</v>
      </c>
      <c r="B297">
        <v>2</v>
      </c>
      <c r="C297" t="s">
        <v>24</v>
      </c>
      <c r="D297">
        <v>28.638862133026102</v>
      </c>
      <c r="E297">
        <v>3.5939999999999999</v>
      </c>
      <c r="F297">
        <v>3.59</v>
      </c>
      <c r="G297">
        <v>0</v>
      </c>
      <c r="H297" t="s">
        <v>25</v>
      </c>
      <c r="I297">
        <v>74.41</v>
      </c>
      <c r="J297">
        <v>74.599999999999994</v>
      </c>
      <c r="K297">
        <v>-0.18999999999998299</v>
      </c>
      <c r="L297">
        <v>10</v>
      </c>
    </row>
    <row r="298" spans="1:23" x14ac:dyDescent="0.25">
      <c r="A298" t="s">
        <v>59</v>
      </c>
      <c r="B298">
        <v>3</v>
      </c>
      <c r="C298" t="s">
        <v>24</v>
      </c>
      <c r="D298">
        <v>32.200058221817002</v>
      </c>
      <c r="E298">
        <v>7.1879999999999997</v>
      </c>
      <c r="F298">
        <v>7.19</v>
      </c>
      <c r="G298">
        <v>0</v>
      </c>
      <c r="H298" t="s">
        <v>25</v>
      </c>
      <c r="I298">
        <v>81.603800000000007</v>
      </c>
      <c r="J298">
        <v>79.44</v>
      </c>
      <c r="K298">
        <v>2.1638000000000002</v>
      </c>
      <c r="L298">
        <v>10</v>
      </c>
    </row>
    <row r="299" spans="1:23" x14ac:dyDescent="0.25">
      <c r="A299" t="s">
        <v>59</v>
      </c>
      <c r="B299">
        <v>4</v>
      </c>
      <c r="C299" t="s">
        <v>24</v>
      </c>
      <c r="D299">
        <v>39.389300823211599</v>
      </c>
      <c r="E299">
        <v>7.1879999999999997</v>
      </c>
      <c r="F299">
        <v>7.1899999999999897</v>
      </c>
      <c r="G299">
        <v>0</v>
      </c>
      <c r="H299" t="s">
        <v>25</v>
      </c>
      <c r="I299">
        <v>88.793800000000005</v>
      </c>
      <c r="J299">
        <v>85.52</v>
      </c>
      <c r="K299">
        <v>3.2738</v>
      </c>
      <c r="L299">
        <v>10</v>
      </c>
    </row>
    <row r="300" spans="1:23" x14ac:dyDescent="0.25">
      <c r="A300" t="s">
        <v>59</v>
      </c>
      <c r="B300">
        <v>5</v>
      </c>
      <c r="C300" t="s">
        <v>24</v>
      </c>
      <c r="D300">
        <v>63.179917097091597</v>
      </c>
      <c r="E300">
        <v>1.7319</v>
      </c>
      <c r="F300">
        <v>1.74</v>
      </c>
      <c r="G300">
        <v>0</v>
      </c>
      <c r="H300" t="s">
        <v>25</v>
      </c>
      <c r="I300">
        <v>83.263800000000003</v>
      </c>
      <c r="J300">
        <v>81.55</v>
      </c>
      <c r="K300">
        <v>1.71380000000002</v>
      </c>
      <c r="L300">
        <v>18</v>
      </c>
    </row>
    <row r="301" spans="1:23" x14ac:dyDescent="0.25">
      <c r="A301" t="s">
        <v>59</v>
      </c>
      <c r="B301">
        <v>6</v>
      </c>
      <c r="C301" t="s">
        <v>26</v>
      </c>
      <c r="D301">
        <v>63.955455541610696</v>
      </c>
      <c r="E301">
        <v>0</v>
      </c>
      <c r="F301">
        <v>0.74</v>
      </c>
      <c r="G301">
        <v>3.35</v>
      </c>
      <c r="H301" t="s">
        <v>27</v>
      </c>
      <c r="I301">
        <v>85.747799999999998</v>
      </c>
      <c r="J301">
        <v>80.56</v>
      </c>
      <c r="K301">
        <v>5.1877999999999904</v>
      </c>
      <c r="L301">
        <v>18</v>
      </c>
      <c r="M301">
        <v>18</v>
      </c>
      <c r="N301">
        <v>19</v>
      </c>
      <c r="O301">
        <v>18</v>
      </c>
      <c r="P301">
        <v>19</v>
      </c>
      <c r="Q301">
        <v>4.33</v>
      </c>
      <c r="R301">
        <v>3.46</v>
      </c>
      <c r="S301">
        <v>4.33</v>
      </c>
      <c r="T301">
        <v>3.5939999999999999</v>
      </c>
      <c r="U301">
        <v>3.35</v>
      </c>
      <c r="V301">
        <v>1.74</v>
      </c>
      <c r="W301">
        <v>0.74</v>
      </c>
    </row>
    <row r="302" spans="1:23" x14ac:dyDescent="0.25">
      <c r="A302" t="s">
        <v>59</v>
      </c>
      <c r="B302">
        <v>7</v>
      </c>
      <c r="C302" t="s">
        <v>24</v>
      </c>
      <c r="D302">
        <v>67.476664781570406</v>
      </c>
      <c r="E302">
        <v>3.4638</v>
      </c>
      <c r="F302">
        <v>3.46999999999999</v>
      </c>
      <c r="G302">
        <v>0</v>
      </c>
      <c r="H302" t="s">
        <v>25</v>
      </c>
      <c r="I302">
        <v>84.997799999999998</v>
      </c>
      <c r="J302">
        <v>84.02</v>
      </c>
      <c r="K302">
        <v>0.977800000000002</v>
      </c>
      <c r="L302">
        <v>18</v>
      </c>
    </row>
    <row r="303" spans="1:23" x14ac:dyDescent="0.25">
      <c r="A303" t="s">
        <v>60</v>
      </c>
      <c r="B303">
        <v>1</v>
      </c>
      <c r="C303" t="s">
        <v>24</v>
      </c>
      <c r="D303">
        <v>7.6535546779632497</v>
      </c>
      <c r="E303">
        <v>1.8096000000000001</v>
      </c>
      <c r="F303">
        <v>1.8099999999999901</v>
      </c>
      <c r="G303">
        <v>0</v>
      </c>
      <c r="H303" t="s">
        <v>25</v>
      </c>
      <c r="I303">
        <v>74.27</v>
      </c>
      <c r="J303">
        <v>74.349999999999994</v>
      </c>
      <c r="K303">
        <v>-7.9999999999984001E-2</v>
      </c>
      <c r="L303">
        <v>3</v>
      </c>
    </row>
    <row r="304" spans="1:23" x14ac:dyDescent="0.25">
      <c r="A304" t="s">
        <v>60</v>
      </c>
      <c r="B304">
        <v>2</v>
      </c>
      <c r="C304" t="s">
        <v>24</v>
      </c>
      <c r="D304">
        <v>18.279013633727999</v>
      </c>
      <c r="E304">
        <v>1.7969999999999999</v>
      </c>
      <c r="F304">
        <v>1.7999999999999901</v>
      </c>
      <c r="G304">
        <v>0</v>
      </c>
      <c r="H304" t="s">
        <v>25</v>
      </c>
      <c r="I304">
        <v>75.39</v>
      </c>
      <c r="J304">
        <v>75.459999999999994</v>
      </c>
      <c r="K304">
        <v>-6.9999999999993096E-2</v>
      </c>
      <c r="L304">
        <v>8</v>
      </c>
    </row>
    <row r="305" spans="1:23" x14ac:dyDescent="0.25">
      <c r="A305" t="s">
        <v>60</v>
      </c>
      <c r="B305">
        <v>3</v>
      </c>
      <c r="C305" t="s">
        <v>24</v>
      </c>
      <c r="D305">
        <v>20.070070505142201</v>
      </c>
      <c r="E305">
        <v>3.5939999999999999</v>
      </c>
      <c r="F305">
        <v>3.6</v>
      </c>
      <c r="G305">
        <v>0</v>
      </c>
      <c r="H305" t="s">
        <v>25</v>
      </c>
      <c r="I305">
        <v>78.989999999999995</v>
      </c>
      <c r="J305">
        <v>79.06</v>
      </c>
      <c r="K305">
        <v>-6.9999999999993096E-2</v>
      </c>
      <c r="L305">
        <v>8</v>
      </c>
    </row>
    <row r="306" spans="1:23" x14ac:dyDescent="0.25">
      <c r="A306" t="s">
        <v>60</v>
      </c>
      <c r="B306">
        <v>4</v>
      </c>
      <c r="C306" t="s">
        <v>24</v>
      </c>
      <c r="D306">
        <v>23.6534597873687</v>
      </c>
      <c r="E306">
        <v>7.1879999999999997</v>
      </c>
      <c r="F306">
        <v>7.18</v>
      </c>
      <c r="G306">
        <v>0</v>
      </c>
      <c r="H306" t="s">
        <v>25</v>
      </c>
      <c r="I306">
        <v>86.1738</v>
      </c>
      <c r="J306">
        <v>83.88</v>
      </c>
      <c r="K306">
        <v>2.2938000000000098</v>
      </c>
      <c r="L306">
        <v>8</v>
      </c>
    </row>
    <row r="307" spans="1:23" x14ac:dyDescent="0.25">
      <c r="A307" t="s">
        <v>60</v>
      </c>
      <c r="B307">
        <v>5</v>
      </c>
      <c r="C307" t="s">
        <v>24</v>
      </c>
      <c r="D307">
        <v>42.232759475708001</v>
      </c>
      <c r="E307">
        <v>1.7969999999999999</v>
      </c>
      <c r="F307">
        <v>1.7999999999999901</v>
      </c>
      <c r="G307">
        <v>0</v>
      </c>
      <c r="H307" t="s">
        <v>25</v>
      </c>
      <c r="I307">
        <v>85.453800000000001</v>
      </c>
      <c r="J307">
        <v>86.43</v>
      </c>
      <c r="K307">
        <v>-0.97619999999999096</v>
      </c>
      <c r="L307">
        <v>10</v>
      </c>
    </row>
    <row r="308" spans="1:23" x14ac:dyDescent="0.25">
      <c r="A308" t="s">
        <v>60</v>
      </c>
      <c r="B308">
        <v>6</v>
      </c>
      <c r="C308" t="s">
        <v>24</v>
      </c>
      <c r="D308">
        <v>44.049487113952601</v>
      </c>
      <c r="E308">
        <v>3.5939999999999999</v>
      </c>
      <c r="F308">
        <v>3.59</v>
      </c>
      <c r="G308">
        <v>0</v>
      </c>
      <c r="H308" t="s">
        <v>25</v>
      </c>
      <c r="I308">
        <v>89.043800000000005</v>
      </c>
      <c r="J308">
        <v>90.02</v>
      </c>
      <c r="K308">
        <v>-0.97619999999999096</v>
      </c>
      <c r="L308">
        <v>10</v>
      </c>
    </row>
    <row r="309" spans="1:23" x14ac:dyDescent="0.25">
      <c r="A309" t="s">
        <v>60</v>
      </c>
      <c r="B309">
        <v>7</v>
      </c>
      <c r="C309" t="s">
        <v>24</v>
      </c>
      <c r="D309">
        <v>47.617136478424001</v>
      </c>
      <c r="E309">
        <v>7.1879999999999997</v>
      </c>
      <c r="F309">
        <v>7.19</v>
      </c>
      <c r="G309">
        <v>0</v>
      </c>
      <c r="H309" t="s">
        <v>25</v>
      </c>
      <c r="I309">
        <v>96.2376</v>
      </c>
      <c r="J309">
        <v>95</v>
      </c>
      <c r="K309">
        <v>1.23760000000001</v>
      </c>
      <c r="L309">
        <v>10</v>
      </c>
    </row>
    <row r="310" spans="1:23" x14ac:dyDescent="0.25">
      <c r="A310" t="s">
        <v>60</v>
      </c>
      <c r="B310">
        <v>8</v>
      </c>
      <c r="C310" t="s">
        <v>24</v>
      </c>
      <c r="D310">
        <v>54.843348979949901</v>
      </c>
      <c r="E310">
        <v>7.1879999999999997</v>
      </c>
      <c r="F310">
        <v>7.1899999999999897</v>
      </c>
      <c r="G310">
        <v>0</v>
      </c>
      <c r="H310" t="s">
        <v>25</v>
      </c>
      <c r="I310">
        <v>103.4276</v>
      </c>
      <c r="J310">
        <v>100.93</v>
      </c>
      <c r="K310">
        <v>2.4975999999999998</v>
      </c>
      <c r="L310">
        <v>10</v>
      </c>
    </row>
    <row r="311" spans="1:23" x14ac:dyDescent="0.25">
      <c r="A311" t="s">
        <v>60</v>
      </c>
      <c r="B311">
        <v>9</v>
      </c>
      <c r="C311" t="s">
        <v>24</v>
      </c>
      <c r="D311">
        <v>67.600511550903306</v>
      </c>
      <c r="E311">
        <v>1.79</v>
      </c>
      <c r="F311">
        <v>1.79</v>
      </c>
      <c r="G311">
        <v>0</v>
      </c>
      <c r="H311" t="s">
        <v>25</v>
      </c>
      <c r="I311">
        <v>101.0776</v>
      </c>
      <c r="J311">
        <v>98.82</v>
      </c>
      <c r="K311">
        <v>2.25760000000002</v>
      </c>
      <c r="L311">
        <v>14</v>
      </c>
    </row>
    <row r="312" spans="1:23" x14ac:dyDescent="0.25">
      <c r="A312" t="s">
        <v>60</v>
      </c>
      <c r="B312">
        <v>10</v>
      </c>
      <c r="C312" t="s">
        <v>24</v>
      </c>
      <c r="D312">
        <v>69.399558067321706</v>
      </c>
      <c r="E312">
        <v>3.58</v>
      </c>
      <c r="F312">
        <v>3.5799999999999899</v>
      </c>
      <c r="G312">
        <v>0</v>
      </c>
      <c r="H312" t="s">
        <v>25</v>
      </c>
      <c r="I312">
        <v>104.6576</v>
      </c>
      <c r="J312">
        <v>102.4</v>
      </c>
      <c r="K312">
        <v>2.2576000000000098</v>
      </c>
      <c r="L312">
        <v>14</v>
      </c>
    </row>
    <row r="313" spans="1:23" x14ac:dyDescent="0.25">
      <c r="A313" t="s">
        <v>60</v>
      </c>
      <c r="B313">
        <v>11</v>
      </c>
      <c r="C313" t="s">
        <v>24</v>
      </c>
      <c r="D313">
        <v>81.370303630828801</v>
      </c>
      <c r="E313">
        <v>1.7319</v>
      </c>
      <c r="F313">
        <v>1.74</v>
      </c>
      <c r="G313">
        <v>0</v>
      </c>
      <c r="H313" t="s">
        <v>25</v>
      </c>
      <c r="I313">
        <v>101.9076</v>
      </c>
      <c r="J313">
        <v>99.79</v>
      </c>
      <c r="K313">
        <v>2.1176000000000101</v>
      </c>
      <c r="L313">
        <v>18</v>
      </c>
    </row>
    <row r="314" spans="1:23" x14ac:dyDescent="0.25">
      <c r="A314" t="s">
        <v>60</v>
      </c>
      <c r="B314">
        <v>12</v>
      </c>
      <c r="C314" t="s">
        <v>24</v>
      </c>
      <c r="D314">
        <v>83.076276302337604</v>
      </c>
      <c r="E314">
        <v>3.4638</v>
      </c>
      <c r="F314">
        <v>3.46</v>
      </c>
      <c r="G314">
        <v>0</v>
      </c>
      <c r="H314" t="s">
        <v>25</v>
      </c>
      <c r="I314">
        <v>105.3676</v>
      </c>
      <c r="J314">
        <v>103.25</v>
      </c>
      <c r="K314">
        <v>2.1176000000000101</v>
      </c>
      <c r="L314">
        <v>18</v>
      </c>
    </row>
    <row r="315" spans="1:23" x14ac:dyDescent="0.25">
      <c r="A315" t="s">
        <v>61</v>
      </c>
      <c r="B315">
        <v>1</v>
      </c>
      <c r="C315" t="s">
        <v>24</v>
      </c>
      <c r="D315">
        <v>6.87237548828125</v>
      </c>
      <c r="E315">
        <v>1.8096000000000001</v>
      </c>
      <c r="F315">
        <v>1.8099999999999901</v>
      </c>
      <c r="G315">
        <v>0</v>
      </c>
      <c r="H315" t="s">
        <v>25</v>
      </c>
      <c r="I315">
        <v>73.5</v>
      </c>
      <c r="J315">
        <v>73.569999999999993</v>
      </c>
      <c r="K315">
        <v>-6.9999999999993096E-2</v>
      </c>
      <c r="L315">
        <v>3</v>
      </c>
    </row>
    <row r="316" spans="1:23" x14ac:dyDescent="0.25">
      <c r="A316" t="s">
        <v>61</v>
      </c>
      <c r="B316">
        <v>2</v>
      </c>
      <c r="C316" t="s">
        <v>24</v>
      </c>
      <c r="D316">
        <v>17.273925304412799</v>
      </c>
      <c r="E316">
        <v>1.7319</v>
      </c>
      <c r="F316">
        <v>1.74</v>
      </c>
      <c r="G316">
        <v>0</v>
      </c>
      <c r="H316" t="s">
        <v>25</v>
      </c>
      <c r="I316">
        <v>74.31</v>
      </c>
      <c r="J316">
        <v>74.459999999999994</v>
      </c>
      <c r="K316">
        <v>-0.149999999999991</v>
      </c>
      <c r="L316">
        <v>6</v>
      </c>
    </row>
    <row r="317" spans="1:23" x14ac:dyDescent="0.25">
      <c r="A317" t="s">
        <v>61</v>
      </c>
      <c r="B317">
        <v>3</v>
      </c>
      <c r="C317" t="s">
        <v>24</v>
      </c>
      <c r="D317">
        <v>18.933994293212798</v>
      </c>
      <c r="E317">
        <v>3.4638</v>
      </c>
      <c r="F317">
        <v>3.46</v>
      </c>
      <c r="G317">
        <v>0</v>
      </c>
      <c r="H317" t="s">
        <v>25</v>
      </c>
      <c r="I317">
        <v>77.77</v>
      </c>
      <c r="J317">
        <v>77.92</v>
      </c>
      <c r="K317">
        <v>-0.149999999999991</v>
      </c>
      <c r="L317">
        <v>6</v>
      </c>
    </row>
    <row r="318" spans="1:23" x14ac:dyDescent="0.25">
      <c r="A318" t="s">
        <v>61</v>
      </c>
      <c r="B318">
        <v>4</v>
      </c>
      <c r="C318" t="s">
        <v>26</v>
      </c>
      <c r="D318">
        <v>20.693255424499501</v>
      </c>
      <c r="E318">
        <v>0</v>
      </c>
      <c r="F318">
        <v>3.37</v>
      </c>
      <c r="G318">
        <v>3.35</v>
      </c>
      <c r="H318" t="s">
        <v>27</v>
      </c>
      <c r="I318">
        <v>79.424000000000007</v>
      </c>
      <c r="J318">
        <v>76.099999999999994</v>
      </c>
      <c r="K318">
        <v>3.3240000000000101</v>
      </c>
      <c r="L318">
        <v>6</v>
      </c>
      <c r="M318">
        <v>6</v>
      </c>
      <c r="N318">
        <v>8</v>
      </c>
      <c r="O318">
        <v>6</v>
      </c>
      <c r="P318">
        <v>8</v>
      </c>
      <c r="Q318">
        <v>6.96</v>
      </c>
      <c r="R318">
        <v>3.46</v>
      </c>
      <c r="S318">
        <v>6.96</v>
      </c>
      <c r="T318">
        <v>3.5939999999999999</v>
      </c>
      <c r="U318">
        <v>3.35</v>
      </c>
      <c r="V318">
        <v>5.2</v>
      </c>
      <c r="W318">
        <v>3.37</v>
      </c>
    </row>
    <row r="319" spans="1:23" x14ac:dyDescent="0.25">
      <c r="A319" t="s">
        <v>61</v>
      </c>
      <c r="B319">
        <v>5</v>
      </c>
      <c r="C319" t="s">
        <v>24</v>
      </c>
      <c r="D319">
        <v>24.163319826126099</v>
      </c>
      <c r="E319">
        <v>6.9276</v>
      </c>
      <c r="F319">
        <v>6.93</v>
      </c>
      <c r="G319">
        <v>0</v>
      </c>
      <c r="H319" t="s">
        <v>25</v>
      </c>
      <c r="I319">
        <v>79.504000000000005</v>
      </c>
      <c r="J319">
        <v>83.03</v>
      </c>
      <c r="K319">
        <v>-3.52599999999999</v>
      </c>
      <c r="L319">
        <v>6</v>
      </c>
    </row>
    <row r="320" spans="1:23" x14ac:dyDescent="0.25">
      <c r="A320" t="s">
        <v>61</v>
      </c>
      <c r="B320">
        <v>6</v>
      </c>
      <c r="C320" t="s">
        <v>24</v>
      </c>
      <c r="D320">
        <v>49.403988838195801</v>
      </c>
      <c r="E320">
        <v>1.6689000000000001</v>
      </c>
      <c r="F320">
        <v>1.67</v>
      </c>
      <c r="G320">
        <v>0</v>
      </c>
      <c r="H320" t="s">
        <v>25</v>
      </c>
      <c r="I320">
        <v>79.953999999999994</v>
      </c>
      <c r="J320">
        <v>80.73</v>
      </c>
      <c r="K320">
        <v>-0.77599999999999603</v>
      </c>
      <c r="L320">
        <v>15</v>
      </c>
    </row>
    <row r="321" spans="1:12" x14ac:dyDescent="0.25">
      <c r="A321" t="s">
        <v>61</v>
      </c>
      <c r="B321">
        <v>7</v>
      </c>
      <c r="C321" t="s">
        <v>24</v>
      </c>
      <c r="D321">
        <v>51.031103610992403</v>
      </c>
      <c r="E321">
        <v>3.3378000000000001</v>
      </c>
      <c r="F321">
        <v>3.33</v>
      </c>
      <c r="G321">
        <v>0</v>
      </c>
      <c r="H321" t="s">
        <v>25</v>
      </c>
      <c r="I321">
        <v>83.284000000000006</v>
      </c>
      <c r="J321">
        <v>84.07</v>
      </c>
      <c r="K321">
        <v>-0.78599999999998704</v>
      </c>
      <c r="L321">
        <v>15</v>
      </c>
    </row>
    <row r="322" spans="1:12" x14ac:dyDescent="0.25">
      <c r="A322" t="s">
        <v>61</v>
      </c>
      <c r="B322">
        <v>8</v>
      </c>
      <c r="C322" t="s">
        <v>24</v>
      </c>
      <c r="D322">
        <v>54.424024820327702</v>
      </c>
      <c r="E322">
        <v>6.6756000000000002</v>
      </c>
      <c r="F322">
        <v>6.68</v>
      </c>
      <c r="G322">
        <v>0</v>
      </c>
      <c r="H322" t="s">
        <v>25</v>
      </c>
      <c r="I322">
        <v>89.963999999999999</v>
      </c>
      <c r="J322">
        <v>89.33</v>
      </c>
      <c r="K322">
        <v>0.634000000000014</v>
      </c>
      <c r="L322">
        <v>15</v>
      </c>
    </row>
    <row r="323" spans="1:12" x14ac:dyDescent="0.25">
      <c r="A323" t="s">
        <v>61</v>
      </c>
      <c r="B323">
        <v>9</v>
      </c>
      <c r="C323" t="s">
        <v>24</v>
      </c>
      <c r="D323">
        <v>61.04439163208</v>
      </c>
      <c r="E323">
        <v>6.6756000000000002</v>
      </c>
      <c r="F323">
        <v>6.68</v>
      </c>
      <c r="G323">
        <v>0</v>
      </c>
      <c r="H323" t="s">
        <v>25</v>
      </c>
      <c r="I323">
        <v>96.644000000000005</v>
      </c>
      <c r="J323">
        <v>93.84</v>
      </c>
      <c r="K323">
        <v>2.8039999999999998</v>
      </c>
      <c r="L323">
        <v>15</v>
      </c>
    </row>
    <row r="324" spans="1:12" x14ac:dyDescent="0.25">
      <c r="A324" t="s">
        <v>61</v>
      </c>
      <c r="B324">
        <v>10</v>
      </c>
      <c r="C324" t="s">
        <v>24</v>
      </c>
      <c r="D324">
        <v>67.734199523925696</v>
      </c>
      <c r="E324">
        <v>6.6756000000000002</v>
      </c>
      <c r="F324">
        <v>6.67</v>
      </c>
      <c r="G324">
        <v>0</v>
      </c>
      <c r="H324" t="s">
        <v>25</v>
      </c>
      <c r="I324">
        <v>103.31399999999999</v>
      </c>
      <c r="J324">
        <v>100.51</v>
      </c>
      <c r="K324">
        <v>2.8039999999999998</v>
      </c>
      <c r="L324">
        <v>15</v>
      </c>
    </row>
    <row r="325" spans="1:12" x14ac:dyDescent="0.25">
      <c r="A325" t="s">
        <v>61</v>
      </c>
      <c r="B325">
        <v>11</v>
      </c>
      <c r="C325" t="s">
        <v>24</v>
      </c>
      <c r="D325">
        <v>74.456624746322603</v>
      </c>
      <c r="E325">
        <v>6.6756000000000002</v>
      </c>
      <c r="F325">
        <v>6.6799999999999899</v>
      </c>
      <c r="G325">
        <v>0</v>
      </c>
      <c r="H325" t="s">
        <v>25</v>
      </c>
      <c r="I325">
        <v>109.994</v>
      </c>
      <c r="J325">
        <v>107.19</v>
      </c>
      <c r="K325">
        <v>2.8039999999999998</v>
      </c>
      <c r="L325">
        <v>15</v>
      </c>
    </row>
    <row r="326" spans="1:12" x14ac:dyDescent="0.25">
      <c r="A326" t="s">
        <v>61</v>
      </c>
      <c r="B326">
        <v>12</v>
      </c>
      <c r="C326" t="s">
        <v>24</v>
      </c>
      <c r="D326">
        <v>86.734298944473196</v>
      </c>
      <c r="E326">
        <v>1.7319</v>
      </c>
      <c r="F326">
        <v>1.74</v>
      </c>
      <c r="G326">
        <v>0</v>
      </c>
      <c r="H326" t="s">
        <v>25</v>
      </c>
      <c r="I326">
        <v>107.84399999999999</v>
      </c>
      <c r="J326">
        <v>105.17</v>
      </c>
      <c r="K326">
        <v>2.6740000000000199</v>
      </c>
      <c r="L326">
        <v>18</v>
      </c>
    </row>
    <row r="327" spans="1:12" x14ac:dyDescent="0.25">
      <c r="A327" t="s">
        <v>61</v>
      </c>
      <c r="B327">
        <v>13</v>
      </c>
      <c r="C327" t="s">
        <v>24</v>
      </c>
      <c r="D327">
        <v>99.1953897476196</v>
      </c>
      <c r="E327">
        <v>1.7969999999999999</v>
      </c>
      <c r="F327">
        <v>1.7999999999999901</v>
      </c>
      <c r="G327">
        <v>0</v>
      </c>
      <c r="H327" t="s">
        <v>25</v>
      </c>
      <c r="I327">
        <v>107.054</v>
      </c>
      <c r="J327">
        <v>104.56</v>
      </c>
      <c r="K327">
        <v>2.49399999999999</v>
      </c>
      <c r="L327">
        <v>23</v>
      </c>
    </row>
    <row r="328" spans="1:12" x14ac:dyDescent="0.25">
      <c r="A328" t="s">
        <v>62</v>
      </c>
      <c r="B328">
        <v>1</v>
      </c>
      <c r="C328" t="s">
        <v>24</v>
      </c>
      <c r="D328">
        <v>19.841710329055701</v>
      </c>
      <c r="E328">
        <v>1.7969999999999999</v>
      </c>
      <c r="F328">
        <v>1.7999999999999901</v>
      </c>
      <c r="G328">
        <v>0</v>
      </c>
      <c r="H328" t="s">
        <v>25</v>
      </c>
      <c r="I328">
        <v>73.47</v>
      </c>
      <c r="J328">
        <v>73.58</v>
      </c>
      <c r="K328">
        <v>-0.109999999999999</v>
      </c>
      <c r="L328">
        <v>8</v>
      </c>
    </row>
    <row r="329" spans="1:12" x14ac:dyDescent="0.25">
      <c r="A329" t="s">
        <v>62</v>
      </c>
      <c r="B329">
        <v>2</v>
      </c>
      <c r="C329" t="s">
        <v>24</v>
      </c>
      <c r="D329">
        <v>21.696298837661701</v>
      </c>
      <c r="E329">
        <v>3.5939999999999999</v>
      </c>
      <c r="F329">
        <v>3.6</v>
      </c>
      <c r="G329">
        <v>0</v>
      </c>
      <c r="H329" t="s">
        <v>25</v>
      </c>
      <c r="I329">
        <v>77.069999999999993</v>
      </c>
      <c r="J329">
        <v>77.17</v>
      </c>
      <c r="K329">
        <v>-9.9999999999994302E-2</v>
      </c>
      <c r="L329">
        <v>8</v>
      </c>
    </row>
    <row r="330" spans="1:12" x14ac:dyDescent="0.25">
      <c r="A330" t="s">
        <v>62</v>
      </c>
      <c r="B330">
        <v>3</v>
      </c>
      <c r="C330" t="s">
        <v>24</v>
      </c>
      <c r="D330">
        <v>25.2796325683593</v>
      </c>
      <c r="E330">
        <v>7.1879999999999997</v>
      </c>
      <c r="F330">
        <v>7.18</v>
      </c>
      <c r="G330">
        <v>0</v>
      </c>
      <c r="H330" t="s">
        <v>25</v>
      </c>
      <c r="I330">
        <v>84.25</v>
      </c>
      <c r="J330">
        <v>84.36</v>
      </c>
      <c r="K330">
        <v>-0.109999999999985</v>
      </c>
      <c r="L330">
        <v>8</v>
      </c>
    </row>
    <row r="331" spans="1:12" x14ac:dyDescent="0.25">
      <c r="A331" t="s">
        <v>62</v>
      </c>
      <c r="B331">
        <v>4</v>
      </c>
      <c r="C331" t="s">
        <v>24</v>
      </c>
      <c r="D331">
        <v>32.115000486373901</v>
      </c>
      <c r="E331">
        <v>2.9619</v>
      </c>
      <c r="F331">
        <v>2.97</v>
      </c>
      <c r="G331">
        <v>0</v>
      </c>
      <c r="H331" t="s">
        <v>25</v>
      </c>
      <c r="I331">
        <v>80.930000000000007</v>
      </c>
      <c r="J331">
        <v>81.09</v>
      </c>
      <c r="K331">
        <v>-0.15999999999999601</v>
      </c>
      <c r="L331">
        <v>9</v>
      </c>
    </row>
    <row r="332" spans="1:12" x14ac:dyDescent="0.25">
      <c r="A332" t="s">
        <v>62</v>
      </c>
      <c r="B332">
        <v>5</v>
      </c>
      <c r="C332" t="s">
        <v>24</v>
      </c>
      <c r="D332">
        <v>36.969254016876199</v>
      </c>
      <c r="E332">
        <v>1.7319</v>
      </c>
      <c r="F332">
        <v>1.74</v>
      </c>
      <c r="G332">
        <v>0</v>
      </c>
      <c r="H332" t="s">
        <v>25</v>
      </c>
      <c r="I332">
        <v>81.010000000000005</v>
      </c>
      <c r="J332">
        <v>81.209999999999994</v>
      </c>
      <c r="K332">
        <v>-0.199999999999974</v>
      </c>
      <c r="L332">
        <v>12</v>
      </c>
    </row>
    <row r="333" spans="1:12" x14ac:dyDescent="0.25">
      <c r="A333" t="s">
        <v>62</v>
      </c>
      <c r="B333">
        <v>6</v>
      </c>
      <c r="C333" t="s">
        <v>24</v>
      </c>
      <c r="D333">
        <v>46.457965135574298</v>
      </c>
      <c r="E333">
        <v>2.9619</v>
      </c>
      <c r="F333">
        <v>2.97</v>
      </c>
      <c r="G333">
        <v>0</v>
      </c>
      <c r="H333" t="s">
        <v>25</v>
      </c>
      <c r="I333">
        <v>82.1</v>
      </c>
      <c r="J333">
        <v>82.4</v>
      </c>
      <c r="K333">
        <v>-0.29999999999999699</v>
      </c>
      <c r="L333">
        <v>13</v>
      </c>
    </row>
    <row r="334" spans="1:12" x14ac:dyDescent="0.25">
      <c r="A334" t="s">
        <v>62</v>
      </c>
      <c r="B334">
        <v>7</v>
      </c>
      <c r="C334" t="s">
        <v>24</v>
      </c>
      <c r="D334">
        <v>51.107988357543903</v>
      </c>
      <c r="E334">
        <v>1.6689000000000001</v>
      </c>
      <c r="F334">
        <v>1.67</v>
      </c>
      <c r="G334">
        <v>0</v>
      </c>
      <c r="H334" t="s">
        <v>25</v>
      </c>
      <c r="I334">
        <v>82.14</v>
      </c>
      <c r="J334">
        <v>82.46</v>
      </c>
      <c r="K334">
        <v>-0.31999999999997802</v>
      </c>
      <c r="L334">
        <v>15</v>
      </c>
    </row>
    <row r="335" spans="1:12" x14ac:dyDescent="0.25">
      <c r="A335" t="s">
        <v>62</v>
      </c>
      <c r="B335">
        <v>8</v>
      </c>
      <c r="C335" t="s">
        <v>24</v>
      </c>
      <c r="D335">
        <v>52.788506984710601</v>
      </c>
      <c r="E335">
        <v>3.3378000000000001</v>
      </c>
      <c r="F335">
        <v>3.33</v>
      </c>
      <c r="G335">
        <v>0</v>
      </c>
      <c r="H335" t="s">
        <v>25</v>
      </c>
      <c r="I335">
        <v>85.47</v>
      </c>
      <c r="J335">
        <v>85.8</v>
      </c>
      <c r="K335">
        <v>-0.32999999999998397</v>
      </c>
      <c r="L335">
        <v>15</v>
      </c>
    </row>
    <row r="336" spans="1:12" x14ac:dyDescent="0.25">
      <c r="A336" t="s">
        <v>62</v>
      </c>
      <c r="B336">
        <v>9</v>
      </c>
      <c r="C336" t="s">
        <v>24</v>
      </c>
      <c r="D336">
        <v>57.787369966506901</v>
      </c>
      <c r="E336">
        <v>1.79</v>
      </c>
      <c r="F336">
        <v>1.79</v>
      </c>
      <c r="G336">
        <v>0</v>
      </c>
      <c r="H336" t="s">
        <v>25</v>
      </c>
      <c r="I336">
        <v>85.3</v>
      </c>
      <c r="J336">
        <v>85.65</v>
      </c>
      <c r="K336">
        <v>-0.34999999999999398</v>
      </c>
      <c r="L336">
        <v>14</v>
      </c>
    </row>
    <row r="337" spans="1:12" x14ac:dyDescent="0.25">
      <c r="A337" t="s">
        <v>62</v>
      </c>
      <c r="B337">
        <v>10</v>
      </c>
      <c r="C337" t="s">
        <v>24</v>
      </c>
      <c r="D337">
        <v>59.533008337020803</v>
      </c>
      <c r="E337">
        <v>3.58</v>
      </c>
      <c r="F337">
        <v>3.5799999999999899</v>
      </c>
      <c r="G337">
        <v>0</v>
      </c>
      <c r="H337" t="s">
        <v>25</v>
      </c>
      <c r="I337">
        <v>88.88</v>
      </c>
      <c r="J337">
        <v>89.23</v>
      </c>
      <c r="K337">
        <v>-0.34999999999999398</v>
      </c>
      <c r="L337">
        <v>14</v>
      </c>
    </row>
    <row r="338" spans="1:12" x14ac:dyDescent="0.25">
      <c r="A338" t="s">
        <v>62</v>
      </c>
      <c r="B338">
        <v>11</v>
      </c>
      <c r="C338" t="s">
        <v>24</v>
      </c>
      <c r="D338">
        <v>66.324189662933307</v>
      </c>
      <c r="E338">
        <v>2.9619</v>
      </c>
      <c r="F338">
        <v>2.97</v>
      </c>
      <c r="G338">
        <v>0</v>
      </c>
      <c r="H338" t="s">
        <v>25</v>
      </c>
      <c r="I338">
        <v>89.03</v>
      </c>
      <c r="J338">
        <v>89.44</v>
      </c>
      <c r="K338">
        <v>-0.40999999999998199</v>
      </c>
      <c r="L338">
        <v>17</v>
      </c>
    </row>
    <row r="339" spans="1:12" x14ac:dyDescent="0.25">
      <c r="A339" t="s">
        <v>62</v>
      </c>
      <c r="B339">
        <v>12</v>
      </c>
      <c r="C339" t="s">
        <v>24</v>
      </c>
      <c r="D339">
        <v>71.064207553863497</v>
      </c>
      <c r="E339">
        <v>1.7319</v>
      </c>
      <c r="F339">
        <v>1.74</v>
      </c>
      <c r="G339">
        <v>0</v>
      </c>
      <c r="H339" t="s">
        <v>25</v>
      </c>
      <c r="I339">
        <v>89.1</v>
      </c>
      <c r="J339">
        <v>89.53</v>
      </c>
      <c r="K339">
        <v>-0.42999999999997801</v>
      </c>
      <c r="L339">
        <v>18</v>
      </c>
    </row>
    <row r="340" spans="1:12" x14ac:dyDescent="0.25">
      <c r="A340" t="s">
        <v>62</v>
      </c>
      <c r="B340">
        <v>13</v>
      </c>
      <c r="C340" t="s">
        <v>24</v>
      </c>
      <c r="D340">
        <v>72.831862926483097</v>
      </c>
      <c r="E340">
        <v>3.4638</v>
      </c>
      <c r="F340">
        <v>3.46</v>
      </c>
      <c r="G340">
        <v>0</v>
      </c>
      <c r="H340" t="s">
        <v>25</v>
      </c>
      <c r="I340">
        <v>92.56</v>
      </c>
      <c r="J340">
        <v>92.99</v>
      </c>
      <c r="K340">
        <v>-0.42999999999997801</v>
      </c>
      <c r="L340">
        <v>18</v>
      </c>
    </row>
    <row r="341" spans="1:12" x14ac:dyDescent="0.25">
      <c r="A341" t="s">
        <v>62</v>
      </c>
      <c r="B341">
        <v>14</v>
      </c>
      <c r="C341" t="s">
        <v>24</v>
      </c>
      <c r="D341">
        <v>76.296416282653794</v>
      </c>
      <c r="E341">
        <v>6.9276</v>
      </c>
      <c r="F341">
        <v>6.93</v>
      </c>
      <c r="G341">
        <v>0</v>
      </c>
      <c r="H341" t="s">
        <v>25</v>
      </c>
      <c r="I341">
        <v>99.494</v>
      </c>
      <c r="J341">
        <v>97.29</v>
      </c>
      <c r="K341">
        <v>2.2040000000000002</v>
      </c>
      <c r="L341">
        <v>18</v>
      </c>
    </row>
    <row r="342" spans="1:12" x14ac:dyDescent="0.25">
      <c r="A342" t="s">
        <v>62</v>
      </c>
      <c r="B342">
        <v>15</v>
      </c>
      <c r="C342" t="s">
        <v>24</v>
      </c>
      <c r="D342">
        <v>83.248562574386597</v>
      </c>
      <c r="E342">
        <v>6.9276</v>
      </c>
      <c r="F342">
        <v>6.92</v>
      </c>
      <c r="G342">
        <v>0</v>
      </c>
      <c r="H342" t="s">
        <v>25</v>
      </c>
      <c r="I342">
        <v>106.414</v>
      </c>
      <c r="J342">
        <v>103.25</v>
      </c>
      <c r="K342">
        <v>3.1640000000000099</v>
      </c>
      <c r="L342">
        <v>18</v>
      </c>
    </row>
    <row r="343" spans="1:12" x14ac:dyDescent="0.25">
      <c r="A343" t="s">
        <v>62</v>
      </c>
      <c r="B343">
        <v>16</v>
      </c>
      <c r="C343" t="s">
        <v>24</v>
      </c>
      <c r="D343">
        <v>95.549645423889103</v>
      </c>
      <c r="E343">
        <v>1.7969999999999999</v>
      </c>
      <c r="F343">
        <v>1.7999999999999901</v>
      </c>
      <c r="G343">
        <v>0</v>
      </c>
      <c r="H343" t="s">
        <v>25</v>
      </c>
      <c r="I343">
        <v>103.964</v>
      </c>
      <c r="J343">
        <v>100.94</v>
      </c>
      <c r="K343">
        <v>3.024</v>
      </c>
      <c r="L343">
        <v>23</v>
      </c>
    </row>
    <row r="344" spans="1:12" x14ac:dyDescent="0.25">
      <c r="A344" t="s">
        <v>62</v>
      </c>
      <c r="B344">
        <v>17</v>
      </c>
      <c r="C344" t="s">
        <v>24</v>
      </c>
      <c r="D344">
        <v>97.339494228362994</v>
      </c>
      <c r="E344">
        <v>3.5939999999999999</v>
      </c>
      <c r="F344">
        <v>3.59</v>
      </c>
      <c r="G344">
        <v>0</v>
      </c>
      <c r="H344" t="s">
        <v>25</v>
      </c>
      <c r="I344">
        <v>107.554</v>
      </c>
      <c r="J344">
        <v>104.54</v>
      </c>
      <c r="K344">
        <v>3.01399999999999</v>
      </c>
      <c r="L344">
        <v>23</v>
      </c>
    </row>
    <row r="345" spans="1:12" x14ac:dyDescent="0.25">
      <c r="A345" t="s">
        <v>63</v>
      </c>
      <c r="B345">
        <v>1</v>
      </c>
      <c r="C345" t="s">
        <v>24</v>
      </c>
      <c r="D345">
        <v>28.914833068847599</v>
      </c>
      <c r="E345">
        <v>1.7969999999999999</v>
      </c>
      <c r="F345">
        <v>1.7999999999999901</v>
      </c>
      <c r="G345">
        <v>0</v>
      </c>
      <c r="H345" t="s">
        <v>25</v>
      </c>
      <c r="I345">
        <v>72.900000000000006</v>
      </c>
      <c r="J345">
        <v>73.08</v>
      </c>
      <c r="K345">
        <v>-0.179999999999992</v>
      </c>
      <c r="L345">
        <v>10</v>
      </c>
    </row>
    <row r="346" spans="1:12" x14ac:dyDescent="0.25">
      <c r="A346" t="s">
        <v>63</v>
      </c>
      <c r="B346">
        <v>2</v>
      </c>
      <c r="C346" t="s">
        <v>24</v>
      </c>
      <c r="D346">
        <v>30.688587903976401</v>
      </c>
      <c r="E346">
        <v>3.5939999999999999</v>
      </c>
      <c r="F346">
        <v>3.59</v>
      </c>
      <c r="G346">
        <v>0</v>
      </c>
      <c r="H346" t="s">
        <v>25</v>
      </c>
      <c r="I346">
        <v>76.489999999999995</v>
      </c>
      <c r="J346">
        <v>76.680000000000007</v>
      </c>
      <c r="K346">
        <v>-0.189999999999997</v>
      </c>
      <c r="L346">
        <v>10</v>
      </c>
    </row>
    <row r="347" spans="1:12" x14ac:dyDescent="0.25">
      <c r="A347" t="s">
        <v>63</v>
      </c>
      <c r="B347">
        <v>3</v>
      </c>
      <c r="C347" t="s">
        <v>24</v>
      </c>
      <c r="D347">
        <v>34.260812520980799</v>
      </c>
      <c r="E347">
        <v>7.1879999999999997</v>
      </c>
      <c r="F347">
        <v>7.19</v>
      </c>
      <c r="G347">
        <v>0</v>
      </c>
      <c r="H347" t="s">
        <v>25</v>
      </c>
      <c r="I347">
        <v>83.683800000000005</v>
      </c>
      <c r="J347">
        <v>81.5</v>
      </c>
      <c r="K347">
        <v>2.1838000000000002</v>
      </c>
      <c r="L347">
        <v>10</v>
      </c>
    </row>
    <row r="348" spans="1:12" x14ac:dyDescent="0.25">
      <c r="A348" t="s">
        <v>63</v>
      </c>
      <c r="B348">
        <v>4</v>
      </c>
      <c r="C348" t="s">
        <v>24</v>
      </c>
      <c r="D348">
        <v>41.461964368820098</v>
      </c>
      <c r="E348">
        <v>7.1879999999999997</v>
      </c>
      <c r="F348">
        <v>7.1899999999999897</v>
      </c>
      <c r="G348">
        <v>0</v>
      </c>
      <c r="H348" t="s">
        <v>25</v>
      </c>
      <c r="I348">
        <v>90.873800000000003</v>
      </c>
      <c r="J348">
        <v>87.59</v>
      </c>
      <c r="K348">
        <v>3.2837999999999901</v>
      </c>
      <c r="L348">
        <v>10</v>
      </c>
    </row>
    <row r="349" spans="1:12" x14ac:dyDescent="0.25">
      <c r="A349" t="s">
        <v>63</v>
      </c>
      <c r="B349">
        <v>5</v>
      </c>
      <c r="C349" t="s">
        <v>24</v>
      </c>
      <c r="D349">
        <v>52.673919439315704</v>
      </c>
      <c r="E349">
        <v>1.79</v>
      </c>
      <c r="F349">
        <v>1.79</v>
      </c>
      <c r="G349">
        <v>0</v>
      </c>
      <c r="H349" t="s">
        <v>25</v>
      </c>
      <c r="I349">
        <v>87.093800000000002</v>
      </c>
      <c r="J349">
        <v>83.91</v>
      </c>
      <c r="K349">
        <v>3.1838000000000002</v>
      </c>
      <c r="L349">
        <v>14</v>
      </c>
    </row>
    <row r="350" spans="1:12" x14ac:dyDescent="0.25">
      <c r="A350" t="s">
        <v>63</v>
      </c>
      <c r="B350">
        <v>6</v>
      </c>
      <c r="C350" t="s">
        <v>24</v>
      </c>
      <c r="D350">
        <v>65.861897230148301</v>
      </c>
      <c r="E350">
        <v>1.7319</v>
      </c>
      <c r="F350">
        <v>1.74</v>
      </c>
      <c r="G350">
        <v>0</v>
      </c>
      <c r="H350" t="s">
        <v>25</v>
      </c>
      <c r="I350">
        <v>85.773799999999994</v>
      </c>
      <c r="J350">
        <v>84.3</v>
      </c>
      <c r="K350">
        <v>1.47380000000001</v>
      </c>
      <c r="L350">
        <v>18</v>
      </c>
    </row>
    <row r="351" spans="1:12" x14ac:dyDescent="0.25">
      <c r="A351" t="s">
        <v>63</v>
      </c>
      <c r="B351">
        <v>7</v>
      </c>
      <c r="C351" t="s">
        <v>24</v>
      </c>
      <c r="D351">
        <v>74.698435783386202</v>
      </c>
      <c r="E351">
        <v>2.9619</v>
      </c>
      <c r="F351">
        <v>2.97</v>
      </c>
      <c r="G351">
        <v>0</v>
      </c>
      <c r="H351" t="s">
        <v>25</v>
      </c>
      <c r="I351">
        <v>86.203800000000001</v>
      </c>
      <c r="J351">
        <v>84.82</v>
      </c>
      <c r="K351">
        <v>1.3838000000000199</v>
      </c>
      <c r="L351">
        <v>21</v>
      </c>
    </row>
    <row r="352" spans="1:12" x14ac:dyDescent="0.25">
      <c r="A352" t="s">
        <v>64</v>
      </c>
      <c r="B352">
        <v>1</v>
      </c>
      <c r="C352" t="s">
        <v>24</v>
      </c>
      <c r="D352">
        <v>17.325914382934499</v>
      </c>
      <c r="E352">
        <v>1.7969999999999999</v>
      </c>
      <c r="F352">
        <v>1.7999999999999901</v>
      </c>
      <c r="G352">
        <v>0</v>
      </c>
      <c r="H352" t="s">
        <v>25</v>
      </c>
      <c r="I352">
        <v>74.44</v>
      </c>
      <c r="J352">
        <v>74.510000000000005</v>
      </c>
      <c r="K352">
        <v>-6.9999999999993096E-2</v>
      </c>
      <c r="L352">
        <v>8</v>
      </c>
    </row>
    <row r="353" spans="1:23" x14ac:dyDescent="0.25">
      <c r="A353" t="s">
        <v>64</v>
      </c>
      <c r="B353">
        <v>2</v>
      </c>
      <c r="C353" t="s">
        <v>26</v>
      </c>
      <c r="D353">
        <v>17.985602378845201</v>
      </c>
      <c r="E353">
        <v>0</v>
      </c>
      <c r="F353">
        <v>0.80999999999999905</v>
      </c>
      <c r="G353">
        <v>3.35</v>
      </c>
      <c r="H353" t="s">
        <v>27</v>
      </c>
      <c r="I353">
        <v>76.6738</v>
      </c>
      <c r="J353">
        <v>73.52</v>
      </c>
      <c r="K353">
        <v>3.1537999999999999</v>
      </c>
      <c r="L353">
        <v>8</v>
      </c>
      <c r="M353">
        <v>8</v>
      </c>
      <c r="N353">
        <v>6</v>
      </c>
      <c r="O353">
        <v>8</v>
      </c>
      <c r="P353">
        <v>6</v>
      </c>
      <c r="Q353">
        <v>4.2699999999999996</v>
      </c>
      <c r="R353">
        <v>3.59</v>
      </c>
      <c r="S353">
        <v>4.2699999999999996</v>
      </c>
      <c r="T353">
        <v>3.4638</v>
      </c>
      <c r="U353">
        <v>3.35</v>
      </c>
      <c r="V353">
        <v>1.7999999999999901</v>
      </c>
      <c r="W353">
        <v>0.80999999999999905</v>
      </c>
    </row>
    <row r="354" spans="1:23" x14ac:dyDescent="0.25">
      <c r="A354" t="s">
        <v>65</v>
      </c>
      <c r="B354">
        <v>1</v>
      </c>
      <c r="C354" t="s">
        <v>24</v>
      </c>
      <c r="D354">
        <v>17.455905437469401</v>
      </c>
      <c r="E354">
        <v>1.7319</v>
      </c>
      <c r="F354">
        <v>1.74</v>
      </c>
      <c r="G354">
        <v>0</v>
      </c>
      <c r="H354" t="s">
        <v>25</v>
      </c>
      <c r="I354">
        <v>74.59</v>
      </c>
      <c r="J354">
        <v>74.650000000000006</v>
      </c>
      <c r="K354">
        <v>-6.0000000000002197E-2</v>
      </c>
      <c r="L354">
        <v>6</v>
      </c>
    </row>
    <row r="355" spans="1:23" x14ac:dyDescent="0.25">
      <c r="A355" t="s">
        <v>65</v>
      </c>
      <c r="B355">
        <v>2</v>
      </c>
      <c r="C355" t="s">
        <v>24</v>
      </c>
      <c r="D355">
        <v>26.389329910278299</v>
      </c>
      <c r="E355">
        <v>2.9619</v>
      </c>
      <c r="F355">
        <v>2.97</v>
      </c>
      <c r="G355">
        <v>0</v>
      </c>
      <c r="H355" t="s">
        <v>25</v>
      </c>
      <c r="I355">
        <v>75.150000000000006</v>
      </c>
      <c r="J355">
        <v>75.31</v>
      </c>
      <c r="K355">
        <v>-0.15999999999999601</v>
      </c>
      <c r="L355">
        <v>9</v>
      </c>
    </row>
    <row r="356" spans="1:23" x14ac:dyDescent="0.25">
      <c r="A356" t="s">
        <v>65</v>
      </c>
      <c r="B356">
        <v>3</v>
      </c>
      <c r="C356" t="s">
        <v>24</v>
      </c>
      <c r="D356">
        <v>31.442758321762</v>
      </c>
      <c r="E356">
        <v>1.7969999999999999</v>
      </c>
      <c r="F356">
        <v>1.7999999999999901</v>
      </c>
      <c r="G356">
        <v>0</v>
      </c>
      <c r="H356" t="s">
        <v>25</v>
      </c>
      <c r="I356">
        <v>75.45</v>
      </c>
      <c r="J356">
        <v>75.63</v>
      </c>
      <c r="K356">
        <v>-0.17999999999997801</v>
      </c>
      <c r="L356">
        <v>10</v>
      </c>
    </row>
    <row r="357" spans="1:23" x14ac:dyDescent="0.25">
      <c r="A357" t="s">
        <v>65</v>
      </c>
      <c r="B357">
        <v>4</v>
      </c>
      <c r="C357" t="s">
        <v>24</v>
      </c>
      <c r="D357">
        <v>41.490868568420403</v>
      </c>
      <c r="E357">
        <v>2.9619</v>
      </c>
      <c r="F357">
        <v>2.97</v>
      </c>
      <c r="G357">
        <v>0</v>
      </c>
      <c r="H357" t="s">
        <v>25</v>
      </c>
      <c r="I357">
        <v>77.209999999999994</v>
      </c>
      <c r="J357">
        <v>77.47</v>
      </c>
      <c r="K357">
        <v>-0.25999999999999002</v>
      </c>
      <c r="L357">
        <v>13</v>
      </c>
    </row>
    <row r="358" spans="1:23" x14ac:dyDescent="0.25">
      <c r="A358" t="s">
        <v>66</v>
      </c>
      <c r="B358">
        <v>1</v>
      </c>
      <c r="C358" t="s">
        <v>24</v>
      </c>
      <c r="D358">
        <v>64.565252065658498</v>
      </c>
      <c r="E358">
        <v>1.7969999999999999</v>
      </c>
      <c r="F358">
        <v>1.7999999999999901</v>
      </c>
      <c r="G358">
        <v>0</v>
      </c>
      <c r="H358" t="s">
        <v>25</v>
      </c>
      <c r="I358">
        <v>69.89</v>
      </c>
      <c r="J358">
        <v>69.95</v>
      </c>
      <c r="K358">
        <v>-6.0000000000002197E-2</v>
      </c>
      <c r="L358">
        <v>23</v>
      </c>
    </row>
    <row r="359" spans="1:23" x14ac:dyDescent="0.25">
      <c r="A359" t="s">
        <v>66</v>
      </c>
      <c r="B359">
        <v>2</v>
      </c>
      <c r="C359" t="s">
        <v>24</v>
      </c>
      <c r="D359">
        <v>66.347929239273</v>
      </c>
      <c r="E359">
        <v>3.5939999999999999</v>
      </c>
      <c r="F359">
        <v>3.59</v>
      </c>
      <c r="G359">
        <v>0</v>
      </c>
      <c r="H359" t="s">
        <v>25</v>
      </c>
      <c r="I359">
        <v>73.48</v>
      </c>
      <c r="J359">
        <v>73.540000000000006</v>
      </c>
      <c r="K359">
        <v>-6.0000000000002197E-2</v>
      </c>
      <c r="L359">
        <v>23</v>
      </c>
    </row>
    <row r="360" spans="1:23" x14ac:dyDescent="0.25">
      <c r="A360" t="s">
        <v>66</v>
      </c>
      <c r="B360">
        <v>3</v>
      </c>
      <c r="C360" t="s">
        <v>24</v>
      </c>
      <c r="D360">
        <v>69.999543905258093</v>
      </c>
      <c r="E360">
        <v>7.1879999999999997</v>
      </c>
      <c r="F360">
        <v>7.19</v>
      </c>
      <c r="G360">
        <v>0</v>
      </c>
      <c r="H360" t="s">
        <v>25</v>
      </c>
      <c r="I360">
        <v>80.669200000000004</v>
      </c>
      <c r="J360">
        <v>78.67</v>
      </c>
      <c r="K360">
        <v>1.9992000000000001</v>
      </c>
      <c r="L360">
        <v>23</v>
      </c>
    </row>
    <row r="361" spans="1:23" x14ac:dyDescent="0.25">
      <c r="A361" t="s">
        <v>66</v>
      </c>
      <c r="B361">
        <v>4</v>
      </c>
      <c r="C361" t="s">
        <v>24</v>
      </c>
      <c r="D361">
        <v>77.120347976684499</v>
      </c>
      <c r="E361">
        <v>7.1879999999999997</v>
      </c>
      <c r="F361">
        <v>7.1899999999999897</v>
      </c>
      <c r="G361">
        <v>0</v>
      </c>
      <c r="H361" t="s">
        <v>25</v>
      </c>
      <c r="I361">
        <v>87.859200000000001</v>
      </c>
      <c r="J361">
        <v>84.3</v>
      </c>
      <c r="K361">
        <v>3.5592000000000001</v>
      </c>
      <c r="L361">
        <v>23</v>
      </c>
    </row>
    <row r="362" spans="1:23" x14ac:dyDescent="0.25">
      <c r="A362" t="s">
        <v>67</v>
      </c>
      <c r="B362">
        <v>1</v>
      </c>
      <c r="C362" t="s">
        <v>26</v>
      </c>
      <c r="D362">
        <v>17.8855748176574</v>
      </c>
      <c r="E362">
        <v>0</v>
      </c>
      <c r="F362">
        <v>0.20999999999999899</v>
      </c>
      <c r="G362">
        <v>3.35</v>
      </c>
      <c r="H362" t="s">
        <v>27</v>
      </c>
      <c r="I362">
        <v>76.593800000000002</v>
      </c>
      <c r="J362">
        <v>73.42</v>
      </c>
      <c r="K362">
        <v>3.1738</v>
      </c>
      <c r="L362">
        <v>8</v>
      </c>
      <c r="M362">
        <v>8</v>
      </c>
      <c r="N362">
        <v>6</v>
      </c>
      <c r="O362">
        <v>8</v>
      </c>
      <c r="P362">
        <v>6</v>
      </c>
      <c r="Q362">
        <v>3.67</v>
      </c>
      <c r="R362">
        <v>3.59</v>
      </c>
      <c r="S362">
        <v>3.67</v>
      </c>
      <c r="T362">
        <v>3.4638</v>
      </c>
      <c r="U362">
        <v>3.35</v>
      </c>
      <c r="V362">
        <v>0</v>
      </c>
      <c r="W362">
        <v>0.20999999999999899</v>
      </c>
    </row>
    <row r="363" spans="1:23" x14ac:dyDescent="0.25">
      <c r="A363" t="s">
        <v>67</v>
      </c>
      <c r="B363">
        <v>2</v>
      </c>
      <c r="C363" t="s">
        <v>24</v>
      </c>
      <c r="D363">
        <v>65.143916368484497</v>
      </c>
      <c r="E363">
        <v>1.8096000000000001</v>
      </c>
      <c r="F363">
        <v>1.8099999999999901</v>
      </c>
      <c r="G363">
        <v>0</v>
      </c>
      <c r="H363" t="s">
        <v>25</v>
      </c>
      <c r="I363">
        <v>69.639999999999901</v>
      </c>
      <c r="J363">
        <v>70.510000000000005</v>
      </c>
      <c r="K363">
        <v>-0.87000000000001798</v>
      </c>
      <c r="L363">
        <v>22</v>
      </c>
    </row>
    <row r="364" spans="1:23" x14ac:dyDescent="0.25">
      <c r="A364" t="s">
        <v>68</v>
      </c>
      <c r="B364">
        <v>1</v>
      </c>
      <c r="C364" t="s">
        <v>24</v>
      </c>
      <c r="D364">
        <v>41.756368637084897</v>
      </c>
      <c r="E364">
        <v>1.79</v>
      </c>
      <c r="F364">
        <v>1.79</v>
      </c>
      <c r="G364">
        <v>0</v>
      </c>
      <c r="H364" t="s">
        <v>25</v>
      </c>
      <c r="I364">
        <v>69.44</v>
      </c>
      <c r="J364">
        <v>69.62</v>
      </c>
      <c r="K364">
        <v>-0.179999999999992</v>
      </c>
      <c r="L364">
        <v>14</v>
      </c>
    </row>
    <row r="365" spans="1:23" x14ac:dyDescent="0.25">
      <c r="A365" t="s">
        <v>68</v>
      </c>
      <c r="B365">
        <v>2</v>
      </c>
      <c r="C365" t="s">
        <v>24</v>
      </c>
      <c r="D365">
        <v>63.360031843185403</v>
      </c>
      <c r="E365">
        <v>1.8096000000000001</v>
      </c>
      <c r="F365">
        <v>1.8099999999999901</v>
      </c>
      <c r="G365">
        <v>0</v>
      </c>
      <c r="H365" t="s">
        <v>25</v>
      </c>
      <c r="I365">
        <v>70.64</v>
      </c>
      <c r="J365">
        <v>68.72</v>
      </c>
      <c r="K365">
        <v>1.92</v>
      </c>
      <c r="L365">
        <v>22</v>
      </c>
    </row>
    <row r="366" spans="1:23" x14ac:dyDescent="0.25">
      <c r="A366" t="s">
        <v>68</v>
      </c>
      <c r="B366">
        <v>3</v>
      </c>
      <c r="C366" t="s">
        <v>24</v>
      </c>
      <c r="D366">
        <v>65.246757745742798</v>
      </c>
      <c r="E366">
        <v>3.6192000000000002</v>
      </c>
      <c r="F366">
        <v>3.62</v>
      </c>
      <c r="G366">
        <v>0</v>
      </c>
      <c r="H366" t="s">
        <v>25</v>
      </c>
      <c r="I366">
        <v>74.260000000000005</v>
      </c>
      <c r="J366">
        <v>72.34</v>
      </c>
      <c r="K366">
        <v>1.92</v>
      </c>
      <c r="L366">
        <v>22</v>
      </c>
    </row>
    <row r="367" spans="1:23" x14ac:dyDescent="0.25">
      <c r="A367" t="s">
        <v>68</v>
      </c>
      <c r="B367">
        <v>4</v>
      </c>
      <c r="C367" t="s">
        <v>24</v>
      </c>
      <c r="D367">
        <v>68.763130426406804</v>
      </c>
      <c r="E367">
        <v>7.2384000000000004</v>
      </c>
      <c r="F367">
        <v>7.2399999999999904</v>
      </c>
      <c r="G367">
        <v>0</v>
      </c>
      <c r="H367" t="s">
        <v>25</v>
      </c>
      <c r="I367">
        <v>81.503999999999905</v>
      </c>
      <c r="J367">
        <v>76.62</v>
      </c>
      <c r="K367">
        <v>4.8839999999999799</v>
      </c>
      <c r="L367">
        <v>22</v>
      </c>
    </row>
    <row r="368" spans="1:23" x14ac:dyDescent="0.25">
      <c r="A368" t="s">
        <v>68</v>
      </c>
      <c r="B368">
        <v>5</v>
      </c>
      <c r="C368" t="s">
        <v>24</v>
      </c>
      <c r="D368">
        <v>76.073463439941406</v>
      </c>
      <c r="E368">
        <v>7.2384000000000004</v>
      </c>
      <c r="F368">
        <v>7.23</v>
      </c>
      <c r="G368">
        <v>0</v>
      </c>
      <c r="H368" t="s">
        <v>25</v>
      </c>
      <c r="I368">
        <v>88.733999999999995</v>
      </c>
      <c r="J368">
        <v>83.22</v>
      </c>
      <c r="K368">
        <v>5.5139999999999896</v>
      </c>
      <c r="L368">
        <v>22</v>
      </c>
    </row>
    <row r="369" spans="1:23" x14ac:dyDescent="0.25">
      <c r="A369" t="s">
        <v>69</v>
      </c>
      <c r="B369">
        <v>1</v>
      </c>
      <c r="C369" t="s">
        <v>24</v>
      </c>
      <c r="D369">
        <v>36.373551845550502</v>
      </c>
      <c r="E369">
        <v>2.9619</v>
      </c>
      <c r="F369">
        <v>2.97</v>
      </c>
      <c r="G369">
        <v>0</v>
      </c>
      <c r="H369" t="s">
        <v>25</v>
      </c>
      <c r="I369">
        <v>72.3</v>
      </c>
      <c r="J369">
        <v>72.349999999999994</v>
      </c>
      <c r="K369">
        <v>-4.9999999999982898E-2</v>
      </c>
      <c r="L369">
        <v>13</v>
      </c>
    </row>
    <row r="370" spans="1:23" x14ac:dyDescent="0.25">
      <c r="A370" t="s">
        <v>69</v>
      </c>
      <c r="B370">
        <v>2</v>
      </c>
      <c r="C370" t="s">
        <v>24</v>
      </c>
      <c r="D370">
        <v>39.3766283988952</v>
      </c>
      <c r="E370">
        <v>5.9238</v>
      </c>
      <c r="F370">
        <v>5.92</v>
      </c>
      <c r="G370">
        <v>0</v>
      </c>
      <c r="H370" t="s">
        <v>25</v>
      </c>
      <c r="I370">
        <v>78.22</v>
      </c>
      <c r="J370">
        <v>78.28</v>
      </c>
      <c r="K370">
        <v>-5.9999999999988E-2</v>
      </c>
      <c r="L370">
        <v>13</v>
      </c>
    </row>
    <row r="371" spans="1:23" x14ac:dyDescent="0.25">
      <c r="A371" t="s">
        <v>69</v>
      </c>
      <c r="B371">
        <v>3</v>
      </c>
      <c r="C371" t="s">
        <v>24</v>
      </c>
      <c r="D371">
        <v>44.365760564803999</v>
      </c>
      <c r="E371">
        <v>1.79</v>
      </c>
      <c r="F371">
        <v>1.79</v>
      </c>
      <c r="G371">
        <v>0</v>
      </c>
      <c r="H371" t="s">
        <v>25</v>
      </c>
      <c r="I371">
        <v>75.45</v>
      </c>
      <c r="J371">
        <v>75.569999999999993</v>
      </c>
      <c r="K371">
        <v>-0.11999999999999</v>
      </c>
      <c r="L371">
        <v>14</v>
      </c>
    </row>
    <row r="372" spans="1:23" x14ac:dyDescent="0.25">
      <c r="A372" t="s">
        <v>69</v>
      </c>
      <c r="B372">
        <v>4</v>
      </c>
      <c r="C372" t="s">
        <v>24</v>
      </c>
      <c r="D372">
        <v>46.170302867889397</v>
      </c>
      <c r="E372">
        <v>3.58</v>
      </c>
      <c r="F372">
        <v>3.5799999999999899</v>
      </c>
      <c r="G372">
        <v>0</v>
      </c>
      <c r="H372" t="s">
        <v>25</v>
      </c>
      <c r="I372">
        <v>79.03</v>
      </c>
      <c r="J372">
        <v>79.150000000000006</v>
      </c>
      <c r="K372">
        <v>-0.11999999999999</v>
      </c>
      <c r="L372">
        <v>14</v>
      </c>
    </row>
    <row r="373" spans="1:23" x14ac:dyDescent="0.25">
      <c r="A373" t="s">
        <v>69</v>
      </c>
      <c r="B373">
        <v>5</v>
      </c>
      <c r="C373" t="s">
        <v>24</v>
      </c>
      <c r="D373">
        <v>49.698686599731403</v>
      </c>
      <c r="E373">
        <v>7.16</v>
      </c>
      <c r="F373">
        <v>7.16</v>
      </c>
      <c r="G373">
        <v>0</v>
      </c>
      <c r="H373" t="s">
        <v>25</v>
      </c>
      <c r="I373">
        <v>86.187799999999996</v>
      </c>
      <c r="J373">
        <v>84.33</v>
      </c>
      <c r="K373">
        <v>1.8578000000000101</v>
      </c>
      <c r="L373">
        <v>14</v>
      </c>
    </row>
    <row r="374" spans="1:23" x14ac:dyDescent="0.25">
      <c r="A374" t="s">
        <v>69</v>
      </c>
      <c r="B374">
        <v>6</v>
      </c>
      <c r="C374" t="s">
        <v>24</v>
      </c>
      <c r="D374">
        <v>56.888261556625302</v>
      </c>
      <c r="E374">
        <v>7.16</v>
      </c>
      <c r="F374">
        <v>7.16</v>
      </c>
      <c r="G374">
        <v>0</v>
      </c>
      <c r="H374" t="s">
        <v>25</v>
      </c>
      <c r="I374">
        <v>93.347800000000007</v>
      </c>
      <c r="J374">
        <v>90.13</v>
      </c>
      <c r="K374">
        <v>3.2178000000000102</v>
      </c>
      <c r="L374">
        <v>14</v>
      </c>
    </row>
    <row r="375" spans="1:23" x14ac:dyDescent="0.25">
      <c r="A375" t="s">
        <v>69</v>
      </c>
      <c r="B375">
        <v>7</v>
      </c>
      <c r="C375" t="s">
        <v>24</v>
      </c>
      <c r="D375">
        <v>71.438297271728501</v>
      </c>
      <c r="E375">
        <v>1.7969999999999999</v>
      </c>
      <c r="F375">
        <v>1.7999999999999901</v>
      </c>
      <c r="G375">
        <v>0</v>
      </c>
      <c r="H375" t="s">
        <v>25</v>
      </c>
      <c r="I375">
        <v>89.437799999999996</v>
      </c>
      <c r="J375">
        <v>86.33</v>
      </c>
      <c r="K375">
        <v>3.1078000000000201</v>
      </c>
      <c r="L375">
        <v>19</v>
      </c>
    </row>
    <row r="376" spans="1:23" x14ac:dyDescent="0.25">
      <c r="A376" t="s">
        <v>69</v>
      </c>
      <c r="B376">
        <v>8</v>
      </c>
      <c r="C376" t="s">
        <v>24</v>
      </c>
      <c r="D376">
        <v>73.249732732772799</v>
      </c>
      <c r="E376">
        <v>3.5939999999999999</v>
      </c>
      <c r="F376">
        <v>3.59</v>
      </c>
      <c r="G376">
        <v>0</v>
      </c>
      <c r="H376" t="s">
        <v>25</v>
      </c>
      <c r="I376">
        <v>93.027799999999999</v>
      </c>
      <c r="J376">
        <v>89.92</v>
      </c>
      <c r="K376">
        <v>3.1078000000000201</v>
      </c>
      <c r="L376">
        <v>19</v>
      </c>
    </row>
    <row r="377" spans="1:23" x14ac:dyDescent="0.25">
      <c r="A377" t="s">
        <v>70</v>
      </c>
      <c r="B377">
        <v>1</v>
      </c>
      <c r="C377" t="s">
        <v>24</v>
      </c>
      <c r="D377">
        <v>42.201279878616297</v>
      </c>
      <c r="E377">
        <v>1.79</v>
      </c>
      <c r="F377">
        <v>1.79</v>
      </c>
      <c r="G377">
        <v>0</v>
      </c>
      <c r="H377" t="s">
        <v>25</v>
      </c>
      <c r="I377">
        <v>69.680000000000007</v>
      </c>
      <c r="J377">
        <v>70.069999999999993</v>
      </c>
      <c r="K377">
        <v>-0.38999999999998602</v>
      </c>
      <c r="L377">
        <v>14</v>
      </c>
    </row>
    <row r="378" spans="1:23" x14ac:dyDescent="0.25">
      <c r="A378" t="s">
        <v>71</v>
      </c>
      <c r="B378">
        <v>1</v>
      </c>
      <c r="C378" t="s">
        <v>24</v>
      </c>
      <c r="D378">
        <v>42.295670986175502</v>
      </c>
      <c r="E378">
        <v>1.79</v>
      </c>
      <c r="F378">
        <v>1.79</v>
      </c>
      <c r="G378">
        <v>0</v>
      </c>
      <c r="H378" t="s">
        <v>25</v>
      </c>
      <c r="I378">
        <v>69.819999999999993</v>
      </c>
      <c r="J378">
        <v>70.19</v>
      </c>
      <c r="K378">
        <v>-0.36999999999999</v>
      </c>
      <c r="L378">
        <v>14</v>
      </c>
    </row>
    <row r="379" spans="1:23" x14ac:dyDescent="0.25">
      <c r="A379" t="s">
        <v>72</v>
      </c>
      <c r="B379">
        <v>1</v>
      </c>
      <c r="C379" t="s">
        <v>24</v>
      </c>
      <c r="D379">
        <v>29.995723009109401</v>
      </c>
      <c r="E379">
        <v>1.7319</v>
      </c>
      <c r="F379">
        <v>1.74</v>
      </c>
      <c r="G379">
        <v>0</v>
      </c>
      <c r="H379" t="s">
        <v>25</v>
      </c>
      <c r="I379">
        <v>70.349999999999994</v>
      </c>
      <c r="J379">
        <v>70.62</v>
      </c>
      <c r="K379">
        <v>-0.26999999999999602</v>
      </c>
      <c r="L379">
        <v>12</v>
      </c>
    </row>
    <row r="380" spans="1:23" x14ac:dyDescent="0.25">
      <c r="A380" t="s">
        <v>73</v>
      </c>
      <c r="B380">
        <v>1</v>
      </c>
      <c r="C380" t="s">
        <v>24</v>
      </c>
      <c r="D380">
        <v>40.7716031074523</v>
      </c>
      <c r="E380">
        <v>1.79</v>
      </c>
      <c r="F380">
        <v>1.79</v>
      </c>
      <c r="G380">
        <v>0</v>
      </c>
      <c r="H380" t="s">
        <v>25</v>
      </c>
      <c r="I380">
        <v>68.459999999999994</v>
      </c>
      <c r="J380">
        <v>68.61</v>
      </c>
      <c r="K380">
        <v>-0.149999999999991</v>
      </c>
      <c r="L380">
        <v>14</v>
      </c>
    </row>
    <row r="381" spans="1:23" x14ac:dyDescent="0.25">
      <c r="A381" t="s">
        <v>74</v>
      </c>
      <c r="B381">
        <v>1</v>
      </c>
      <c r="C381" t="s">
        <v>24</v>
      </c>
      <c r="D381">
        <v>6.8959887027740399</v>
      </c>
      <c r="E381">
        <v>1.8096000000000001</v>
      </c>
      <c r="F381">
        <v>1.8099999999999901</v>
      </c>
      <c r="G381">
        <v>0</v>
      </c>
      <c r="H381" t="s">
        <v>25</v>
      </c>
      <c r="I381">
        <v>73.55</v>
      </c>
      <c r="J381">
        <v>73.62</v>
      </c>
      <c r="K381">
        <v>-6.9999999999993096E-2</v>
      </c>
      <c r="L381">
        <v>3</v>
      </c>
    </row>
    <row r="382" spans="1:23" x14ac:dyDescent="0.25">
      <c r="A382" t="s">
        <v>74</v>
      </c>
      <c r="B382">
        <v>2</v>
      </c>
      <c r="C382" t="s">
        <v>24</v>
      </c>
      <c r="D382">
        <v>16.932743549346899</v>
      </c>
      <c r="E382">
        <v>1.7969999999999999</v>
      </c>
      <c r="F382">
        <v>1.7999999999999901</v>
      </c>
      <c r="G382">
        <v>0</v>
      </c>
      <c r="H382" t="s">
        <v>25</v>
      </c>
      <c r="I382">
        <v>73.97</v>
      </c>
      <c r="J382">
        <v>74.12</v>
      </c>
      <c r="K382">
        <v>-0.149999999999991</v>
      </c>
      <c r="L382">
        <v>8</v>
      </c>
    </row>
    <row r="383" spans="1:23" x14ac:dyDescent="0.25">
      <c r="A383" t="s">
        <v>74</v>
      </c>
      <c r="B383">
        <v>3</v>
      </c>
      <c r="C383" t="s">
        <v>24</v>
      </c>
      <c r="D383">
        <v>28.3473351001739</v>
      </c>
      <c r="E383">
        <v>1.7319</v>
      </c>
      <c r="F383">
        <v>1.74</v>
      </c>
      <c r="G383">
        <v>0</v>
      </c>
      <c r="H383" t="s">
        <v>25</v>
      </c>
      <c r="I383">
        <v>72.36</v>
      </c>
      <c r="J383">
        <v>72.61</v>
      </c>
      <c r="K383">
        <v>-0.24999999999998501</v>
      </c>
      <c r="L383">
        <v>12</v>
      </c>
    </row>
    <row r="384" spans="1:23" x14ac:dyDescent="0.25">
      <c r="A384" t="s">
        <v>74</v>
      </c>
      <c r="B384">
        <v>4</v>
      </c>
      <c r="C384" t="s">
        <v>26</v>
      </c>
      <c r="D384">
        <v>29.440607547759999</v>
      </c>
      <c r="E384">
        <v>0</v>
      </c>
      <c r="F384">
        <v>0.99</v>
      </c>
      <c r="G384">
        <v>3.35</v>
      </c>
      <c r="H384" t="s">
        <v>27</v>
      </c>
      <c r="I384">
        <v>73.843800000000002</v>
      </c>
      <c r="J384">
        <v>71.86</v>
      </c>
      <c r="K384">
        <v>1.98380000000001</v>
      </c>
      <c r="L384">
        <v>10</v>
      </c>
      <c r="M384">
        <v>12</v>
      </c>
      <c r="N384">
        <v>10</v>
      </c>
      <c r="O384">
        <v>10</v>
      </c>
      <c r="P384">
        <v>12</v>
      </c>
      <c r="Q384">
        <v>3.46</v>
      </c>
      <c r="R384">
        <v>4.58</v>
      </c>
      <c r="S384">
        <v>3.46</v>
      </c>
      <c r="T384">
        <v>3.4638</v>
      </c>
      <c r="U384">
        <v>3.35</v>
      </c>
      <c r="V384">
        <v>1.74</v>
      </c>
      <c r="W384">
        <v>0.99</v>
      </c>
    </row>
    <row r="385" spans="1:23" x14ac:dyDescent="0.25">
      <c r="A385" t="s">
        <v>74</v>
      </c>
      <c r="B385">
        <v>5</v>
      </c>
      <c r="C385" t="s">
        <v>24</v>
      </c>
      <c r="D385">
        <v>40.886847972869802</v>
      </c>
      <c r="E385">
        <v>1.6689000000000001</v>
      </c>
      <c r="F385">
        <v>1.67</v>
      </c>
      <c r="G385">
        <v>0</v>
      </c>
      <c r="H385" t="s">
        <v>25</v>
      </c>
      <c r="I385">
        <v>74.663799999999995</v>
      </c>
      <c r="J385">
        <v>72.209999999999994</v>
      </c>
      <c r="K385">
        <v>2.45380000000001</v>
      </c>
      <c r="L385">
        <v>15</v>
      </c>
    </row>
    <row r="386" spans="1:23" x14ac:dyDescent="0.25">
      <c r="A386" t="s">
        <v>74</v>
      </c>
      <c r="B386">
        <v>6</v>
      </c>
      <c r="C386" t="s">
        <v>24</v>
      </c>
      <c r="D386">
        <v>52.433750391006399</v>
      </c>
      <c r="E386">
        <v>1.7319</v>
      </c>
      <c r="F386">
        <v>1.74</v>
      </c>
      <c r="G386">
        <v>0</v>
      </c>
      <c r="H386" t="s">
        <v>25</v>
      </c>
      <c r="I386">
        <v>73.1738</v>
      </c>
      <c r="J386">
        <v>70.89</v>
      </c>
      <c r="K386">
        <v>2.2838000000000198</v>
      </c>
      <c r="L386">
        <v>18</v>
      </c>
    </row>
    <row r="387" spans="1:23" x14ac:dyDescent="0.25">
      <c r="A387" t="s">
        <v>74</v>
      </c>
      <c r="B387">
        <v>7</v>
      </c>
      <c r="C387" t="s">
        <v>26</v>
      </c>
      <c r="D387">
        <v>53.769100189208899</v>
      </c>
      <c r="E387">
        <v>0</v>
      </c>
      <c r="F387">
        <v>1.21999999999999</v>
      </c>
      <c r="G387">
        <v>3.35</v>
      </c>
      <c r="H387" t="s">
        <v>27</v>
      </c>
      <c r="I387">
        <v>76.137799999999999</v>
      </c>
      <c r="J387">
        <v>70.37</v>
      </c>
      <c r="K387">
        <v>5.7678000000000003</v>
      </c>
      <c r="L387">
        <v>18</v>
      </c>
      <c r="M387">
        <v>18</v>
      </c>
      <c r="N387">
        <v>19</v>
      </c>
      <c r="O387">
        <v>18</v>
      </c>
      <c r="P387">
        <v>19</v>
      </c>
      <c r="Q387">
        <v>4.8099999999999996</v>
      </c>
      <c r="R387">
        <v>3.46</v>
      </c>
      <c r="S387">
        <v>4.8099999999999996</v>
      </c>
      <c r="T387">
        <v>3.5939999999999999</v>
      </c>
      <c r="U387">
        <v>3.35</v>
      </c>
      <c r="V387">
        <v>1.74</v>
      </c>
      <c r="W387">
        <v>1.21999999999999</v>
      </c>
    </row>
    <row r="388" spans="1:23" x14ac:dyDescent="0.25">
      <c r="A388" t="s">
        <v>75</v>
      </c>
      <c r="B388">
        <v>1</v>
      </c>
      <c r="C388" t="s">
        <v>24</v>
      </c>
      <c r="D388">
        <v>65.338163852691594</v>
      </c>
      <c r="E388">
        <v>1.7969999999999999</v>
      </c>
      <c r="F388">
        <v>1.7999999999999901</v>
      </c>
      <c r="G388">
        <v>0</v>
      </c>
      <c r="H388" t="s">
        <v>25</v>
      </c>
      <c r="I388">
        <v>70.52</v>
      </c>
      <c r="J388">
        <v>70.739999999999995</v>
      </c>
      <c r="K388">
        <v>-0.219999999999998</v>
      </c>
      <c r="L388">
        <v>23</v>
      </c>
    </row>
    <row r="389" spans="1:23" x14ac:dyDescent="0.25">
      <c r="A389" t="s">
        <v>75</v>
      </c>
      <c r="B389">
        <v>2</v>
      </c>
      <c r="C389" t="s">
        <v>26</v>
      </c>
      <c r="D389">
        <v>66.251553297042804</v>
      </c>
      <c r="E389">
        <v>0</v>
      </c>
      <c r="F389">
        <v>0.89999999999999902</v>
      </c>
      <c r="G389">
        <v>3.35</v>
      </c>
      <c r="H389" t="s">
        <v>27</v>
      </c>
      <c r="I389">
        <v>72.999200000000002</v>
      </c>
      <c r="J389">
        <v>69.849999999999994</v>
      </c>
      <c r="K389">
        <v>3.1492</v>
      </c>
      <c r="L389">
        <v>23</v>
      </c>
      <c r="M389">
        <v>23</v>
      </c>
      <c r="N389">
        <v>22</v>
      </c>
      <c r="O389">
        <v>23</v>
      </c>
      <c r="P389">
        <v>22</v>
      </c>
      <c r="Q389">
        <v>4.5199999999999996</v>
      </c>
      <c r="R389">
        <v>3.59</v>
      </c>
      <c r="S389">
        <v>4.5199999999999996</v>
      </c>
      <c r="T389">
        <v>3.6192000000000002</v>
      </c>
      <c r="U389">
        <v>3.35</v>
      </c>
      <c r="V389">
        <v>1.7999999999999901</v>
      </c>
      <c r="W389">
        <v>0.89999999999999902</v>
      </c>
    </row>
    <row r="390" spans="1:23" x14ac:dyDescent="0.25">
      <c r="A390" t="s">
        <v>76</v>
      </c>
      <c r="B390">
        <v>1</v>
      </c>
      <c r="C390" t="s">
        <v>24</v>
      </c>
      <c r="D390">
        <v>7.1752026081085196</v>
      </c>
      <c r="E390">
        <v>1.8096000000000001</v>
      </c>
      <c r="F390">
        <v>1.8099999999999901</v>
      </c>
      <c r="G390">
        <v>0</v>
      </c>
      <c r="H390" t="s">
        <v>25</v>
      </c>
      <c r="I390">
        <v>73.77</v>
      </c>
      <c r="J390">
        <v>73.83</v>
      </c>
      <c r="K390">
        <v>-5.9999999999988E-2</v>
      </c>
      <c r="L390">
        <v>3</v>
      </c>
    </row>
    <row r="391" spans="1:23" x14ac:dyDescent="0.25">
      <c r="A391" t="s">
        <v>76</v>
      </c>
      <c r="B391">
        <v>2</v>
      </c>
      <c r="C391" t="s">
        <v>24</v>
      </c>
      <c r="D391">
        <v>17.790550470352098</v>
      </c>
      <c r="E391">
        <v>1.7969999999999999</v>
      </c>
      <c r="F391">
        <v>1.7999999999999901</v>
      </c>
      <c r="G391">
        <v>0</v>
      </c>
      <c r="H391" t="s">
        <v>25</v>
      </c>
      <c r="I391">
        <v>74.8</v>
      </c>
      <c r="J391">
        <v>74.94</v>
      </c>
      <c r="K391">
        <v>-0.139999999999986</v>
      </c>
      <c r="L391">
        <v>8</v>
      </c>
    </row>
    <row r="392" spans="1:23" x14ac:dyDescent="0.25">
      <c r="A392" t="s">
        <v>76</v>
      </c>
      <c r="B392">
        <v>3</v>
      </c>
      <c r="C392" t="s">
        <v>24</v>
      </c>
      <c r="D392">
        <v>19.548554658889699</v>
      </c>
      <c r="E392">
        <v>3.5939999999999999</v>
      </c>
      <c r="F392">
        <v>3.6</v>
      </c>
      <c r="G392">
        <v>0</v>
      </c>
      <c r="H392" t="s">
        <v>25</v>
      </c>
      <c r="I392">
        <v>78.400000000000006</v>
      </c>
      <c r="J392">
        <v>78.53</v>
      </c>
      <c r="K392">
        <v>-0.12999999999999501</v>
      </c>
      <c r="L392">
        <v>8</v>
      </c>
    </row>
    <row r="393" spans="1:23" x14ac:dyDescent="0.25">
      <c r="A393" t="s">
        <v>76</v>
      </c>
      <c r="B393">
        <v>4</v>
      </c>
      <c r="C393" t="s">
        <v>24</v>
      </c>
      <c r="D393">
        <v>31.987666845321598</v>
      </c>
      <c r="E393">
        <v>1.7969999999999999</v>
      </c>
      <c r="F393">
        <v>1.7999999999999901</v>
      </c>
      <c r="G393">
        <v>0</v>
      </c>
      <c r="H393" t="s">
        <v>25</v>
      </c>
      <c r="I393">
        <v>75.97</v>
      </c>
      <c r="J393">
        <v>76.19</v>
      </c>
      <c r="K393">
        <v>-0.21999999999998399</v>
      </c>
      <c r="L393">
        <v>10</v>
      </c>
    </row>
    <row r="394" spans="1:23" x14ac:dyDescent="0.25">
      <c r="A394" t="s">
        <v>76</v>
      </c>
      <c r="B394">
        <v>5</v>
      </c>
      <c r="C394" t="s">
        <v>24</v>
      </c>
      <c r="D394">
        <v>36.113207817077601</v>
      </c>
      <c r="E394">
        <v>1.7319</v>
      </c>
      <c r="F394">
        <v>1.74</v>
      </c>
      <c r="G394">
        <v>0</v>
      </c>
      <c r="H394" t="s">
        <v>25</v>
      </c>
      <c r="I394">
        <v>76.56</v>
      </c>
      <c r="J394">
        <v>76.8</v>
      </c>
      <c r="K394">
        <v>-0.23999999999998001</v>
      </c>
      <c r="L394">
        <v>12</v>
      </c>
    </row>
    <row r="395" spans="1:23" x14ac:dyDescent="0.25">
      <c r="A395" t="s">
        <v>76</v>
      </c>
      <c r="B395">
        <v>6</v>
      </c>
      <c r="C395" t="s">
        <v>24</v>
      </c>
      <c r="D395">
        <v>37.858222961425703</v>
      </c>
      <c r="E395">
        <v>3.4638</v>
      </c>
      <c r="F395">
        <v>3.46</v>
      </c>
      <c r="G395">
        <v>0</v>
      </c>
      <c r="H395" t="s">
        <v>25</v>
      </c>
      <c r="I395">
        <v>80.02</v>
      </c>
      <c r="J395">
        <v>80.260000000000005</v>
      </c>
      <c r="K395">
        <v>-0.239999999999994</v>
      </c>
      <c r="L395">
        <v>12</v>
      </c>
    </row>
    <row r="396" spans="1:23" x14ac:dyDescent="0.25">
      <c r="A396" t="s">
        <v>76</v>
      </c>
      <c r="B396">
        <v>7</v>
      </c>
      <c r="C396" t="s">
        <v>24</v>
      </c>
      <c r="D396">
        <v>48.249051094055098</v>
      </c>
      <c r="E396">
        <v>1.6689000000000001</v>
      </c>
      <c r="F396">
        <v>1.67</v>
      </c>
      <c r="G396">
        <v>0</v>
      </c>
      <c r="H396" t="s">
        <v>25</v>
      </c>
      <c r="I396">
        <v>79.23</v>
      </c>
      <c r="J396">
        <v>79.58</v>
      </c>
      <c r="K396">
        <v>-0.34999999999999398</v>
      </c>
      <c r="L396">
        <v>15</v>
      </c>
    </row>
    <row r="397" spans="1:23" x14ac:dyDescent="0.25">
      <c r="A397" t="s">
        <v>76</v>
      </c>
      <c r="B397">
        <v>8</v>
      </c>
      <c r="C397" t="s">
        <v>24</v>
      </c>
      <c r="D397">
        <v>61.087620019912698</v>
      </c>
      <c r="E397">
        <v>1.7319</v>
      </c>
      <c r="F397">
        <v>1.74</v>
      </c>
      <c r="G397">
        <v>0</v>
      </c>
      <c r="H397" t="s">
        <v>25</v>
      </c>
      <c r="I397">
        <v>79</v>
      </c>
      <c r="J397">
        <v>79.510000000000005</v>
      </c>
      <c r="K397">
        <v>-0.50999999999999002</v>
      </c>
      <c r="L397">
        <v>18</v>
      </c>
    </row>
    <row r="398" spans="1:23" x14ac:dyDescent="0.25">
      <c r="A398" t="s">
        <v>76</v>
      </c>
      <c r="B398">
        <v>9</v>
      </c>
      <c r="C398" t="s">
        <v>24</v>
      </c>
      <c r="D398">
        <v>62.799434661865199</v>
      </c>
      <c r="E398">
        <v>3.4638</v>
      </c>
      <c r="F398">
        <v>3.46</v>
      </c>
      <c r="G398">
        <v>0</v>
      </c>
      <c r="H398" t="s">
        <v>25</v>
      </c>
      <c r="I398">
        <v>82.46</v>
      </c>
      <c r="J398">
        <v>82.97</v>
      </c>
      <c r="K398">
        <v>-0.50999999999999002</v>
      </c>
      <c r="L398">
        <v>18</v>
      </c>
    </row>
    <row r="399" spans="1:23" x14ac:dyDescent="0.25">
      <c r="A399" t="s">
        <v>76</v>
      </c>
      <c r="B399">
        <v>10</v>
      </c>
      <c r="C399" t="s">
        <v>24</v>
      </c>
      <c r="D399">
        <v>74.745388269424396</v>
      </c>
      <c r="E399">
        <v>1.7969999999999999</v>
      </c>
      <c r="F399">
        <v>1.7999999999999901</v>
      </c>
      <c r="G399">
        <v>0</v>
      </c>
      <c r="H399" t="s">
        <v>25</v>
      </c>
      <c r="I399">
        <v>79.47</v>
      </c>
      <c r="J399">
        <v>80.150000000000006</v>
      </c>
      <c r="K399">
        <v>-0.67999999999999206</v>
      </c>
      <c r="L399">
        <v>23</v>
      </c>
    </row>
    <row r="400" spans="1:23" x14ac:dyDescent="0.25">
      <c r="A400" t="s">
        <v>77</v>
      </c>
      <c r="B400">
        <v>1</v>
      </c>
      <c r="C400" t="s">
        <v>24</v>
      </c>
      <c r="D400">
        <v>27.930541038513098</v>
      </c>
      <c r="E400">
        <v>1.7969999999999999</v>
      </c>
      <c r="F400">
        <v>1.7999999999999901</v>
      </c>
      <c r="G400">
        <v>0</v>
      </c>
      <c r="H400" t="s">
        <v>25</v>
      </c>
      <c r="I400">
        <v>71.760000000000005</v>
      </c>
      <c r="J400">
        <v>72.08</v>
      </c>
      <c r="K400">
        <v>-0.31999999999999301</v>
      </c>
      <c r="L400">
        <v>10</v>
      </c>
    </row>
    <row r="401" spans="1:12" x14ac:dyDescent="0.25">
      <c r="A401" t="s">
        <v>77</v>
      </c>
      <c r="B401">
        <v>2</v>
      </c>
      <c r="C401" t="s">
        <v>24</v>
      </c>
      <c r="D401">
        <v>29.701547384262</v>
      </c>
      <c r="E401">
        <v>3.5939999999999999</v>
      </c>
      <c r="F401">
        <v>3.59</v>
      </c>
      <c r="G401">
        <v>0</v>
      </c>
      <c r="H401" t="s">
        <v>25</v>
      </c>
      <c r="I401">
        <v>75.349999999999994</v>
      </c>
      <c r="J401">
        <v>75.680000000000007</v>
      </c>
      <c r="K401">
        <v>-0.32999999999999802</v>
      </c>
      <c r="L401">
        <v>10</v>
      </c>
    </row>
    <row r="402" spans="1:12" x14ac:dyDescent="0.25">
      <c r="A402" t="s">
        <v>77</v>
      </c>
      <c r="B402">
        <v>3</v>
      </c>
      <c r="C402" t="s">
        <v>24</v>
      </c>
      <c r="D402">
        <v>43.346597194671602</v>
      </c>
      <c r="E402">
        <v>1.79</v>
      </c>
      <c r="F402">
        <v>1.79</v>
      </c>
      <c r="G402">
        <v>0</v>
      </c>
      <c r="H402" t="s">
        <v>25</v>
      </c>
      <c r="I402">
        <v>74.010000000000005</v>
      </c>
      <c r="J402">
        <v>74.569999999999993</v>
      </c>
      <c r="K402">
        <v>-0.55999999999998795</v>
      </c>
      <c r="L402">
        <v>14</v>
      </c>
    </row>
    <row r="403" spans="1:12" x14ac:dyDescent="0.25">
      <c r="A403" t="s">
        <v>77</v>
      </c>
      <c r="B403">
        <v>4</v>
      </c>
      <c r="C403" t="s">
        <v>24</v>
      </c>
      <c r="D403">
        <v>47.8602743148803</v>
      </c>
      <c r="E403">
        <v>1.6689000000000001</v>
      </c>
      <c r="F403">
        <v>1.67</v>
      </c>
      <c r="G403">
        <v>0</v>
      </c>
      <c r="H403" t="s">
        <v>25</v>
      </c>
      <c r="I403">
        <v>74.95</v>
      </c>
      <c r="J403">
        <v>75.569999999999993</v>
      </c>
      <c r="K403">
        <v>-0.61999999999999</v>
      </c>
      <c r="L403">
        <v>15</v>
      </c>
    </row>
    <row r="404" spans="1:12" x14ac:dyDescent="0.25">
      <c r="A404" t="s">
        <v>77</v>
      </c>
      <c r="B404">
        <v>5</v>
      </c>
      <c r="C404" t="s">
        <v>24</v>
      </c>
      <c r="D404">
        <v>49.541670322418199</v>
      </c>
      <c r="E404">
        <v>3.3378000000000001</v>
      </c>
      <c r="F404">
        <v>3.33</v>
      </c>
      <c r="G404">
        <v>0</v>
      </c>
      <c r="H404" t="s">
        <v>25</v>
      </c>
      <c r="I404">
        <v>78.28</v>
      </c>
      <c r="J404">
        <v>78.91</v>
      </c>
      <c r="K404">
        <v>-0.62999999999999501</v>
      </c>
      <c r="L404">
        <v>15</v>
      </c>
    </row>
    <row r="405" spans="1:12" x14ac:dyDescent="0.25">
      <c r="A405" t="s">
        <v>77</v>
      </c>
      <c r="B405">
        <v>6</v>
      </c>
      <c r="C405" t="s">
        <v>24</v>
      </c>
      <c r="D405">
        <v>59.231610298156703</v>
      </c>
      <c r="E405">
        <v>1.7319</v>
      </c>
      <c r="F405">
        <v>1.74</v>
      </c>
      <c r="G405">
        <v>0</v>
      </c>
      <c r="H405" t="s">
        <v>25</v>
      </c>
      <c r="I405">
        <v>76.86</v>
      </c>
      <c r="J405">
        <v>77.680000000000007</v>
      </c>
      <c r="K405">
        <v>-0.81999999999999296</v>
      </c>
      <c r="L405">
        <v>18</v>
      </c>
    </row>
    <row r="406" spans="1:12" x14ac:dyDescent="0.25">
      <c r="A406" t="s">
        <v>77</v>
      </c>
      <c r="B406">
        <v>7</v>
      </c>
      <c r="C406" t="s">
        <v>24</v>
      </c>
      <c r="D406">
        <v>61.037724018096903</v>
      </c>
      <c r="E406">
        <v>3.4638</v>
      </c>
      <c r="F406">
        <v>3.46</v>
      </c>
      <c r="G406">
        <v>0</v>
      </c>
      <c r="H406" t="s">
        <v>25</v>
      </c>
      <c r="I406">
        <v>80.319999999999993</v>
      </c>
      <c r="J406">
        <v>81.14</v>
      </c>
      <c r="K406">
        <v>-0.81999999999999296</v>
      </c>
      <c r="L406">
        <v>18</v>
      </c>
    </row>
    <row r="407" spans="1:12" x14ac:dyDescent="0.25">
      <c r="A407" t="s">
        <v>77</v>
      </c>
      <c r="B407">
        <v>8</v>
      </c>
      <c r="C407" t="s">
        <v>24</v>
      </c>
      <c r="D407">
        <v>65.636650800704899</v>
      </c>
      <c r="E407">
        <v>1.7969999999999999</v>
      </c>
      <c r="F407">
        <v>1.7999999999999901</v>
      </c>
      <c r="G407">
        <v>0</v>
      </c>
      <c r="H407" t="s">
        <v>25</v>
      </c>
      <c r="I407">
        <v>79.66</v>
      </c>
      <c r="J407">
        <v>80.55</v>
      </c>
      <c r="K407">
        <v>-0.88999999999998602</v>
      </c>
      <c r="L407">
        <v>19</v>
      </c>
    </row>
    <row r="408" spans="1:12" x14ac:dyDescent="0.25">
      <c r="A408" t="s">
        <v>77</v>
      </c>
      <c r="B408">
        <v>9</v>
      </c>
      <c r="C408" t="s">
        <v>24</v>
      </c>
      <c r="D408">
        <v>75.141763210296602</v>
      </c>
      <c r="E408">
        <v>1.8096000000000001</v>
      </c>
      <c r="F408">
        <v>1.8099999999999901</v>
      </c>
      <c r="G408">
        <v>0</v>
      </c>
      <c r="H408" t="s">
        <v>25</v>
      </c>
      <c r="I408">
        <v>79.430000000000007</v>
      </c>
      <c r="J408">
        <v>80.510000000000005</v>
      </c>
      <c r="K408">
        <v>-1.0799999999999901</v>
      </c>
      <c r="L408">
        <v>22</v>
      </c>
    </row>
    <row r="409" spans="1:12" x14ac:dyDescent="0.25">
      <c r="A409" t="s">
        <v>77</v>
      </c>
      <c r="B409">
        <v>10</v>
      </c>
      <c r="C409" t="s">
        <v>24</v>
      </c>
      <c r="D409">
        <v>79.572055578231797</v>
      </c>
      <c r="E409">
        <v>1.7969999999999999</v>
      </c>
      <c r="F409">
        <v>1.7999999999999901</v>
      </c>
      <c r="G409">
        <v>0</v>
      </c>
      <c r="H409" t="s">
        <v>25</v>
      </c>
      <c r="I409">
        <v>80.2</v>
      </c>
      <c r="J409">
        <v>81.349999999999994</v>
      </c>
      <c r="K409">
        <v>-1.1499999999999699</v>
      </c>
      <c r="L409">
        <v>23</v>
      </c>
    </row>
    <row r="410" spans="1:12" x14ac:dyDescent="0.25">
      <c r="A410" t="s">
        <v>77</v>
      </c>
      <c r="B410">
        <v>11</v>
      </c>
      <c r="C410" t="s">
        <v>24</v>
      </c>
      <c r="D410">
        <v>81.446795225143404</v>
      </c>
      <c r="E410">
        <v>3.5939999999999999</v>
      </c>
      <c r="F410">
        <v>3.59</v>
      </c>
      <c r="G410">
        <v>0</v>
      </c>
      <c r="H410" t="s">
        <v>25</v>
      </c>
      <c r="I410">
        <v>83.79</v>
      </c>
      <c r="J410">
        <v>84.95</v>
      </c>
      <c r="K410">
        <v>-1.1599999999999799</v>
      </c>
      <c r="L410">
        <v>23</v>
      </c>
    </row>
    <row r="411" spans="1:12" x14ac:dyDescent="0.25">
      <c r="A411" t="s">
        <v>77</v>
      </c>
      <c r="B411">
        <v>12</v>
      </c>
      <c r="C411" t="s">
        <v>24</v>
      </c>
      <c r="D411">
        <v>85.036920309066701</v>
      </c>
      <c r="E411">
        <v>7.1879999999999997</v>
      </c>
      <c r="F411">
        <v>7.19</v>
      </c>
      <c r="G411">
        <v>0</v>
      </c>
      <c r="H411" t="s">
        <v>25</v>
      </c>
      <c r="I411">
        <v>90.98</v>
      </c>
      <c r="J411">
        <v>92.14</v>
      </c>
      <c r="K411">
        <v>-1.1599999999999799</v>
      </c>
      <c r="L411">
        <v>23</v>
      </c>
    </row>
    <row r="412" spans="1:12" x14ac:dyDescent="0.25">
      <c r="A412" t="s">
        <v>77</v>
      </c>
      <c r="B412">
        <v>13</v>
      </c>
      <c r="C412" t="s">
        <v>24</v>
      </c>
      <c r="D412">
        <v>92.165971994399996</v>
      </c>
      <c r="E412">
        <v>7.1879999999999997</v>
      </c>
      <c r="F412">
        <v>7.1899999999999897</v>
      </c>
      <c r="G412">
        <v>0</v>
      </c>
      <c r="H412" t="s">
        <v>25</v>
      </c>
      <c r="I412">
        <v>98.17</v>
      </c>
      <c r="J412">
        <v>99.32</v>
      </c>
      <c r="K412">
        <v>-1.1499999999999699</v>
      </c>
      <c r="L412">
        <v>23</v>
      </c>
    </row>
    <row r="413" spans="1:12" x14ac:dyDescent="0.25">
      <c r="A413" t="s">
        <v>78</v>
      </c>
      <c r="B413">
        <v>1</v>
      </c>
      <c r="C413" t="s">
        <v>24</v>
      </c>
      <c r="D413">
        <v>39.550234556198099</v>
      </c>
      <c r="E413">
        <v>1.79</v>
      </c>
      <c r="F413">
        <v>1.79</v>
      </c>
      <c r="G413">
        <v>0</v>
      </c>
      <c r="H413" t="s">
        <v>25</v>
      </c>
      <c r="I413">
        <v>69.97</v>
      </c>
      <c r="J413">
        <v>70.709999999999994</v>
      </c>
      <c r="K413">
        <v>-0.739999999999994</v>
      </c>
      <c r="L413">
        <v>14</v>
      </c>
    </row>
    <row r="414" spans="1:12" x14ac:dyDescent="0.25">
      <c r="A414" t="s">
        <v>78</v>
      </c>
      <c r="B414">
        <v>2</v>
      </c>
      <c r="C414" t="s">
        <v>24</v>
      </c>
      <c r="D414">
        <v>41.363289117813103</v>
      </c>
      <c r="E414">
        <v>3.58</v>
      </c>
      <c r="F414">
        <v>3.5799999999999899</v>
      </c>
      <c r="G414">
        <v>0</v>
      </c>
      <c r="H414" t="s">
        <v>25</v>
      </c>
      <c r="I414">
        <v>73.55</v>
      </c>
      <c r="J414">
        <v>74.290000000000006</v>
      </c>
      <c r="K414">
        <v>-0.739999999999994</v>
      </c>
      <c r="L414">
        <v>14</v>
      </c>
    </row>
    <row r="415" spans="1:12" x14ac:dyDescent="0.25">
      <c r="A415" t="s">
        <v>78</v>
      </c>
      <c r="B415">
        <v>3</v>
      </c>
      <c r="C415" t="s">
        <v>24</v>
      </c>
      <c r="D415">
        <v>44.947056293487499</v>
      </c>
      <c r="E415">
        <v>7.16</v>
      </c>
      <c r="F415">
        <v>7.16</v>
      </c>
      <c r="G415">
        <v>0</v>
      </c>
      <c r="H415" t="s">
        <v>25</v>
      </c>
      <c r="I415">
        <v>80.707800000000006</v>
      </c>
      <c r="J415">
        <v>79.569999999999993</v>
      </c>
      <c r="K415">
        <v>1.1378000000000099</v>
      </c>
      <c r="L415">
        <v>14</v>
      </c>
    </row>
    <row r="416" spans="1:12" x14ac:dyDescent="0.25">
      <c r="A416" t="s">
        <v>78</v>
      </c>
      <c r="B416">
        <v>4</v>
      </c>
      <c r="C416" t="s">
        <v>24</v>
      </c>
      <c r="D416">
        <v>52.058813810348497</v>
      </c>
      <c r="E416">
        <v>7.16</v>
      </c>
      <c r="F416">
        <v>7.16</v>
      </c>
      <c r="G416">
        <v>0</v>
      </c>
      <c r="H416" t="s">
        <v>25</v>
      </c>
      <c r="I416">
        <v>87.867800000000003</v>
      </c>
      <c r="J416">
        <v>85.27</v>
      </c>
      <c r="K416">
        <v>2.5977999999999999</v>
      </c>
      <c r="L416">
        <v>14</v>
      </c>
    </row>
    <row r="417" spans="1:23" x14ac:dyDescent="0.25">
      <c r="A417" t="s">
        <v>78</v>
      </c>
      <c r="B417">
        <v>5</v>
      </c>
      <c r="C417" t="s">
        <v>24</v>
      </c>
      <c r="D417">
        <v>76.205891370773301</v>
      </c>
      <c r="E417">
        <v>1.8096000000000001</v>
      </c>
      <c r="F417">
        <v>1.8099999999999901</v>
      </c>
      <c r="G417">
        <v>0</v>
      </c>
      <c r="H417" t="s">
        <v>25</v>
      </c>
      <c r="I417">
        <v>82.947800000000001</v>
      </c>
      <c r="J417">
        <v>81.58</v>
      </c>
      <c r="K417">
        <v>1.3677999999999999</v>
      </c>
      <c r="L417">
        <v>22</v>
      </c>
    </row>
    <row r="418" spans="1:23" x14ac:dyDescent="0.25">
      <c r="A418" t="s">
        <v>79</v>
      </c>
      <c r="B418">
        <v>1</v>
      </c>
      <c r="C418" t="s">
        <v>24</v>
      </c>
      <c r="D418">
        <v>6.6295666694641104</v>
      </c>
      <c r="E418">
        <v>1.8096000000000001</v>
      </c>
      <c r="F418">
        <v>1.8099999999999901</v>
      </c>
      <c r="G418">
        <v>0</v>
      </c>
      <c r="H418" t="s">
        <v>25</v>
      </c>
      <c r="I418">
        <v>73.290000000000006</v>
      </c>
      <c r="J418">
        <v>73.349999999999994</v>
      </c>
      <c r="K418">
        <v>-5.9999999999988E-2</v>
      </c>
      <c r="L418">
        <v>3</v>
      </c>
    </row>
    <row r="419" spans="1:23" x14ac:dyDescent="0.25">
      <c r="A419" t="s">
        <v>79</v>
      </c>
      <c r="B419">
        <v>2</v>
      </c>
      <c r="C419" t="s">
        <v>24</v>
      </c>
      <c r="D419">
        <v>17.000771284103301</v>
      </c>
      <c r="E419">
        <v>1.7969999999999999</v>
      </c>
      <c r="F419">
        <v>1.7999999999999901</v>
      </c>
      <c r="G419">
        <v>0</v>
      </c>
      <c r="H419" t="s">
        <v>25</v>
      </c>
      <c r="I419">
        <v>74</v>
      </c>
      <c r="J419">
        <v>74.13</v>
      </c>
      <c r="K419">
        <v>-0.12999999999999501</v>
      </c>
      <c r="L419">
        <v>8</v>
      </c>
    </row>
    <row r="420" spans="1:23" x14ac:dyDescent="0.25">
      <c r="A420" t="s">
        <v>79</v>
      </c>
      <c r="B420">
        <v>3</v>
      </c>
      <c r="C420" t="s">
        <v>26</v>
      </c>
      <c r="D420">
        <v>17.717371940612701</v>
      </c>
      <c r="E420">
        <v>0</v>
      </c>
      <c r="F420">
        <v>0.92999999999999905</v>
      </c>
      <c r="G420">
        <v>3.35</v>
      </c>
      <c r="H420" t="s">
        <v>27</v>
      </c>
      <c r="I420">
        <v>76.353800000000007</v>
      </c>
      <c r="J420">
        <v>73.25</v>
      </c>
      <c r="K420">
        <v>3.1038000000000001</v>
      </c>
      <c r="L420">
        <v>8</v>
      </c>
      <c r="M420">
        <v>8</v>
      </c>
      <c r="N420">
        <v>6</v>
      </c>
      <c r="O420">
        <v>8</v>
      </c>
      <c r="P420">
        <v>6</v>
      </c>
      <c r="Q420">
        <v>4.3899999999999997</v>
      </c>
      <c r="R420">
        <v>3.59</v>
      </c>
      <c r="S420">
        <v>4.3899999999999997</v>
      </c>
      <c r="T420">
        <v>3.4638</v>
      </c>
      <c r="U420">
        <v>3.35</v>
      </c>
      <c r="V420">
        <v>1.7999999999999901</v>
      </c>
      <c r="W420">
        <v>0.92999999999999905</v>
      </c>
    </row>
    <row r="421" spans="1:23" x14ac:dyDescent="0.25">
      <c r="A421" t="s">
        <v>79</v>
      </c>
      <c r="B421">
        <v>4</v>
      </c>
      <c r="C421" t="s">
        <v>24</v>
      </c>
      <c r="D421">
        <v>42.959428310394202</v>
      </c>
      <c r="E421">
        <v>1.79</v>
      </c>
      <c r="F421">
        <v>1.79</v>
      </c>
      <c r="G421">
        <v>0</v>
      </c>
      <c r="H421" t="s">
        <v>25</v>
      </c>
      <c r="I421">
        <v>74.853800000000007</v>
      </c>
      <c r="J421">
        <v>70.86</v>
      </c>
      <c r="K421">
        <v>3.9937999999999998</v>
      </c>
      <c r="L421">
        <v>14</v>
      </c>
    </row>
    <row r="422" spans="1:23" x14ac:dyDescent="0.25">
      <c r="A422" t="s">
        <v>80</v>
      </c>
      <c r="B422">
        <v>1</v>
      </c>
      <c r="C422" t="s">
        <v>24</v>
      </c>
      <c r="D422">
        <v>37.7614102363586</v>
      </c>
      <c r="E422">
        <v>1.6689000000000001</v>
      </c>
      <c r="F422">
        <v>1.67</v>
      </c>
      <c r="G422">
        <v>0</v>
      </c>
      <c r="H422" t="s">
        <v>25</v>
      </c>
      <c r="I422">
        <v>69.03</v>
      </c>
      <c r="J422">
        <v>69.099999999999994</v>
      </c>
      <c r="K422">
        <v>-6.9999999999978899E-2</v>
      </c>
      <c r="L422">
        <v>15</v>
      </c>
    </row>
    <row r="423" spans="1:23" x14ac:dyDescent="0.25">
      <c r="A423" t="s">
        <v>80</v>
      </c>
      <c r="B423">
        <v>2</v>
      </c>
      <c r="C423" t="s">
        <v>26</v>
      </c>
      <c r="D423">
        <v>38.431025743484497</v>
      </c>
      <c r="E423">
        <v>0</v>
      </c>
      <c r="F423">
        <v>0.45999999999999902</v>
      </c>
      <c r="G423">
        <v>3.35</v>
      </c>
      <c r="H423" t="s">
        <v>27</v>
      </c>
      <c r="I423">
        <v>71.41</v>
      </c>
      <c r="J423">
        <v>67.89</v>
      </c>
      <c r="K423">
        <v>3.5200000000000098</v>
      </c>
      <c r="L423">
        <v>15</v>
      </c>
      <c r="M423">
        <v>15</v>
      </c>
      <c r="N423">
        <v>14</v>
      </c>
      <c r="O423">
        <v>15</v>
      </c>
      <c r="P423">
        <v>14</v>
      </c>
      <c r="Q423">
        <v>4.04</v>
      </c>
      <c r="R423">
        <v>3.34</v>
      </c>
      <c r="S423">
        <v>4.04</v>
      </c>
      <c r="T423">
        <v>3.58</v>
      </c>
      <c r="U423">
        <v>3.35</v>
      </c>
      <c r="V423">
        <v>1.67</v>
      </c>
      <c r="W423">
        <v>0.45999999999999902</v>
      </c>
    </row>
    <row r="424" spans="1:23" x14ac:dyDescent="0.25">
      <c r="A424" t="s">
        <v>81</v>
      </c>
      <c r="B424">
        <v>1</v>
      </c>
      <c r="C424" t="s">
        <v>26</v>
      </c>
      <c r="D424">
        <v>16.393495798110902</v>
      </c>
      <c r="E424">
        <v>0</v>
      </c>
      <c r="F424">
        <v>0</v>
      </c>
      <c r="G424">
        <v>3.35</v>
      </c>
      <c r="H424" t="s">
        <v>27</v>
      </c>
      <c r="I424">
        <v>74.569999999999993</v>
      </c>
      <c r="J424">
        <v>71.930000000000007</v>
      </c>
      <c r="K424">
        <v>2.64</v>
      </c>
      <c r="L424">
        <v>8</v>
      </c>
      <c r="M424">
        <v>8</v>
      </c>
      <c r="N424">
        <v>6</v>
      </c>
      <c r="O424">
        <v>8</v>
      </c>
      <c r="P424">
        <v>6</v>
      </c>
      <c r="Q424">
        <v>2.94</v>
      </c>
      <c r="R424">
        <v>3.59</v>
      </c>
      <c r="S424">
        <v>2.94</v>
      </c>
      <c r="T424">
        <v>3.4638</v>
      </c>
      <c r="U424">
        <v>3.35</v>
      </c>
      <c r="V424">
        <v>0.52</v>
      </c>
      <c r="W424">
        <v>0</v>
      </c>
    </row>
    <row r="425" spans="1:23" x14ac:dyDescent="0.25">
      <c r="A425" t="s">
        <v>82</v>
      </c>
      <c r="B425">
        <v>1</v>
      </c>
      <c r="C425" t="s">
        <v>24</v>
      </c>
      <c r="D425">
        <v>39.4513003826141</v>
      </c>
      <c r="E425">
        <v>1.79</v>
      </c>
      <c r="F425">
        <v>1.79</v>
      </c>
      <c r="G425">
        <v>0</v>
      </c>
      <c r="H425" t="s">
        <v>25</v>
      </c>
      <c r="I425">
        <v>70.27</v>
      </c>
      <c r="J425">
        <v>70.67</v>
      </c>
      <c r="K425">
        <v>-0.39999999999999097</v>
      </c>
      <c r="L425">
        <v>14</v>
      </c>
    </row>
    <row r="426" spans="1:23" x14ac:dyDescent="0.25">
      <c r="A426" t="s">
        <v>82</v>
      </c>
      <c r="B426">
        <v>2</v>
      </c>
      <c r="C426" t="s">
        <v>24</v>
      </c>
      <c r="D426">
        <v>41.222248554229701</v>
      </c>
      <c r="E426">
        <v>3.58</v>
      </c>
      <c r="F426">
        <v>3.5799999999999899</v>
      </c>
      <c r="G426">
        <v>0</v>
      </c>
      <c r="H426" t="s">
        <v>25</v>
      </c>
      <c r="I426">
        <v>73.849999999999994</v>
      </c>
      <c r="J426">
        <v>74.25</v>
      </c>
      <c r="K426">
        <v>-0.39999999999999097</v>
      </c>
      <c r="L426">
        <v>14</v>
      </c>
    </row>
    <row r="427" spans="1:23" x14ac:dyDescent="0.25">
      <c r="A427" t="s">
        <v>82</v>
      </c>
      <c r="B427">
        <v>3</v>
      </c>
      <c r="C427" t="s">
        <v>24</v>
      </c>
      <c r="D427">
        <v>44.802705049514699</v>
      </c>
      <c r="E427">
        <v>7.16</v>
      </c>
      <c r="F427">
        <v>7.16</v>
      </c>
      <c r="G427">
        <v>0</v>
      </c>
      <c r="H427" t="s">
        <v>25</v>
      </c>
      <c r="I427">
        <v>81.007800000000003</v>
      </c>
      <c r="J427">
        <v>79.430000000000007</v>
      </c>
      <c r="K427">
        <v>1.5778000000000101</v>
      </c>
      <c r="L427">
        <v>14</v>
      </c>
    </row>
    <row r="428" spans="1:23" x14ac:dyDescent="0.25">
      <c r="A428" t="s">
        <v>82</v>
      </c>
      <c r="B428">
        <v>4</v>
      </c>
      <c r="C428" t="s">
        <v>24</v>
      </c>
      <c r="D428">
        <v>70.804956674575806</v>
      </c>
      <c r="E428">
        <v>2.9619</v>
      </c>
      <c r="F428">
        <v>2.97</v>
      </c>
      <c r="G428">
        <v>0</v>
      </c>
      <c r="H428" t="s">
        <v>25</v>
      </c>
      <c r="I428">
        <v>81.127799999999993</v>
      </c>
      <c r="J428">
        <v>80.94</v>
      </c>
      <c r="K428">
        <v>0.187799999999995</v>
      </c>
      <c r="L428">
        <v>21</v>
      </c>
    </row>
    <row r="429" spans="1:23" x14ac:dyDescent="0.25">
      <c r="A429" t="s">
        <v>83</v>
      </c>
      <c r="B429">
        <v>1</v>
      </c>
      <c r="C429" t="s">
        <v>26</v>
      </c>
      <c r="D429">
        <v>3.6002428531646702</v>
      </c>
      <c r="E429">
        <v>0</v>
      </c>
      <c r="F429">
        <v>0</v>
      </c>
      <c r="G429">
        <v>3.35</v>
      </c>
      <c r="H429" t="s">
        <v>27</v>
      </c>
      <c r="I429">
        <v>75.430000000000007</v>
      </c>
      <c r="J429">
        <v>72.63</v>
      </c>
      <c r="K429">
        <v>2.80000000000001</v>
      </c>
      <c r="L429">
        <v>2</v>
      </c>
      <c r="M429">
        <v>2</v>
      </c>
      <c r="N429">
        <v>3</v>
      </c>
      <c r="O429">
        <v>2</v>
      </c>
      <c r="P429">
        <v>3</v>
      </c>
      <c r="Q429">
        <v>3.6</v>
      </c>
      <c r="R429">
        <v>3.99</v>
      </c>
      <c r="S429">
        <v>3.6</v>
      </c>
      <c r="T429">
        <v>3.6192000000000002</v>
      </c>
      <c r="U429">
        <v>3.35</v>
      </c>
      <c r="V429">
        <v>0.02</v>
      </c>
      <c r="W429">
        <v>0</v>
      </c>
    </row>
    <row r="430" spans="1:23" x14ac:dyDescent="0.25">
      <c r="A430" t="s">
        <v>83</v>
      </c>
      <c r="B430">
        <v>2</v>
      </c>
      <c r="C430" t="s">
        <v>24</v>
      </c>
      <c r="D430">
        <v>29.605766773223799</v>
      </c>
      <c r="E430">
        <v>1.7969999999999999</v>
      </c>
      <c r="F430">
        <v>1.7999999999999901</v>
      </c>
      <c r="G430">
        <v>0</v>
      </c>
      <c r="H430" t="s">
        <v>25</v>
      </c>
      <c r="I430">
        <v>74.959999999999994</v>
      </c>
      <c r="J430">
        <v>73.819999999999993</v>
      </c>
      <c r="K430">
        <v>1.1400000000000099</v>
      </c>
      <c r="L430">
        <v>10</v>
      </c>
    </row>
    <row r="431" spans="1:23" x14ac:dyDescent="0.25">
      <c r="A431" t="s">
        <v>84</v>
      </c>
      <c r="B431">
        <v>1</v>
      </c>
      <c r="C431" t="s">
        <v>24</v>
      </c>
      <c r="D431">
        <v>39.106895685195902</v>
      </c>
      <c r="E431">
        <v>1.6689000000000001</v>
      </c>
      <c r="F431">
        <v>1.67</v>
      </c>
      <c r="G431">
        <v>0</v>
      </c>
      <c r="H431" t="s">
        <v>25</v>
      </c>
      <c r="I431">
        <v>70.09</v>
      </c>
      <c r="J431">
        <v>70.45</v>
      </c>
      <c r="K431">
        <v>-0.359999999999985</v>
      </c>
      <c r="L431">
        <v>15</v>
      </c>
    </row>
    <row r="432" spans="1:23" x14ac:dyDescent="0.25">
      <c r="A432" t="s">
        <v>84</v>
      </c>
      <c r="B432">
        <v>2</v>
      </c>
      <c r="C432" t="s">
        <v>24</v>
      </c>
      <c r="D432">
        <v>62.349363327026303</v>
      </c>
      <c r="E432">
        <v>1.8096000000000001</v>
      </c>
      <c r="F432">
        <v>1.8099999999999901</v>
      </c>
      <c r="G432">
        <v>0</v>
      </c>
      <c r="H432" t="s">
        <v>25</v>
      </c>
      <c r="I432">
        <v>69.389999999999901</v>
      </c>
      <c r="J432">
        <v>67.680000000000007</v>
      </c>
      <c r="K432">
        <v>1.70999999999997</v>
      </c>
      <c r="L432">
        <v>22</v>
      </c>
    </row>
    <row r="433" spans="1:23" x14ac:dyDescent="0.25">
      <c r="A433" t="s">
        <v>84</v>
      </c>
      <c r="B433">
        <v>3</v>
      </c>
      <c r="C433" t="s">
        <v>26</v>
      </c>
      <c r="D433">
        <v>62.9445478916168</v>
      </c>
      <c r="E433">
        <v>0</v>
      </c>
      <c r="F433">
        <v>0.7</v>
      </c>
      <c r="G433">
        <v>3.35</v>
      </c>
      <c r="H433" t="s">
        <v>27</v>
      </c>
      <c r="I433">
        <v>70.959199999999996</v>
      </c>
      <c r="J433">
        <v>66.56</v>
      </c>
      <c r="K433">
        <v>4.3991999999999898</v>
      </c>
      <c r="L433">
        <v>23</v>
      </c>
      <c r="M433">
        <v>22</v>
      </c>
      <c r="N433">
        <v>23</v>
      </c>
      <c r="O433">
        <v>23</v>
      </c>
      <c r="P433">
        <v>22</v>
      </c>
      <c r="Q433">
        <v>3.62</v>
      </c>
      <c r="R433">
        <v>4.29</v>
      </c>
      <c r="S433">
        <v>3.62</v>
      </c>
      <c r="T433">
        <v>3.6192000000000002</v>
      </c>
      <c r="U433">
        <v>3.35</v>
      </c>
      <c r="V433">
        <v>1.8099999999999901</v>
      </c>
      <c r="W433">
        <v>0.7</v>
      </c>
    </row>
    <row r="434" spans="1:23" x14ac:dyDescent="0.25">
      <c r="A434" t="s">
        <v>85</v>
      </c>
      <c r="B434">
        <v>1</v>
      </c>
      <c r="C434" t="s">
        <v>24</v>
      </c>
      <c r="D434">
        <v>17.3290195465087</v>
      </c>
      <c r="E434">
        <v>1.7969999999999999</v>
      </c>
      <c r="F434">
        <v>1.7999999999999901</v>
      </c>
      <c r="G434">
        <v>0</v>
      </c>
      <c r="H434" t="s">
        <v>25</v>
      </c>
      <c r="I434">
        <v>74.45</v>
      </c>
      <c r="J434">
        <v>74.510000000000005</v>
      </c>
      <c r="K434">
        <v>-6.0000000000002197E-2</v>
      </c>
      <c r="L434">
        <v>8</v>
      </c>
    </row>
    <row r="435" spans="1:23" x14ac:dyDescent="0.25">
      <c r="A435" t="s">
        <v>85</v>
      </c>
      <c r="B435">
        <v>2</v>
      </c>
      <c r="C435" t="s">
        <v>24</v>
      </c>
      <c r="D435">
        <v>29.5556316375732</v>
      </c>
      <c r="E435">
        <v>1.7969999999999999</v>
      </c>
      <c r="F435">
        <v>1.7999999999999901</v>
      </c>
      <c r="G435">
        <v>0</v>
      </c>
      <c r="H435" t="s">
        <v>25</v>
      </c>
      <c r="I435">
        <v>73.540000000000006</v>
      </c>
      <c r="J435">
        <v>73.72</v>
      </c>
      <c r="K435">
        <v>-0.179999999999992</v>
      </c>
      <c r="L435">
        <v>10</v>
      </c>
    </row>
    <row r="436" spans="1:23" x14ac:dyDescent="0.25">
      <c r="A436" t="s">
        <v>85</v>
      </c>
      <c r="B436">
        <v>3</v>
      </c>
      <c r="C436" t="s">
        <v>24</v>
      </c>
      <c r="D436">
        <v>42.923681974410997</v>
      </c>
      <c r="E436">
        <v>1.79</v>
      </c>
      <c r="F436">
        <v>1.79</v>
      </c>
      <c r="G436">
        <v>0</v>
      </c>
      <c r="H436" t="s">
        <v>25</v>
      </c>
      <c r="I436">
        <v>73.81</v>
      </c>
      <c r="J436">
        <v>74.12</v>
      </c>
      <c r="K436">
        <v>-0.310000000000002</v>
      </c>
      <c r="L436">
        <v>14</v>
      </c>
    </row>
    <row r="437" spans="1:23" x14ac:dyDescent="0.25">
      <c r="A437" t="s">
        <v>85</v>
      </c>
      <c r="B437">
        <v>4</v>
      </c>
      <c r="C437" t="s">
        <v>24</v>
      </c>
      <c r="D437">
        <v>69.954577684402395</v>
      </c>
      <c r="E437">
        <v>1.7969999999999999</v>
      </c>
      <c r="F437">
        <v>1.7999999999999901</v>
      </c>
      <c r="G437">
        <v>0</v>
      </c>
      <c r="H437" t="s">
        <v>25</v>
      </c>
      <c r="I437">
        <v>71.22</v>
      </c>
      <c r="J437">
        <v>71.73</v>
      </c>
      <c r="K437">
        <v>-0.510000000000005</v>
      </c>
      <c r="L437">
        <v>23</v>
      </c>
    </row>
    <row r="438" spans="1:23" x14ac:dyDescent="0.25">
      <c r="A438" t="s">
        <v>86</v>
      </c>
      <c r="B438">
        <v>1</v>
      </c>
      <c r="C438" t="s">
        <v>24</v>
      </c>
      <c r="D438">
        <v>54.503368377685497</v>
      </c>
      <c r="E438">
        <v>1.7969999999999999</v>
      </c>
      <c r="F438">
        <v>1.7999999999999901</v>
      </c>
      <c r="G438">
        <v>0</v>
      </c>
      <c r="H438" t="s">
        <v>25</v>
      </c>
      <c r="I438">
        <v>69.319999999999993</v>
      </c>
      <c r="J438">
        <v>69.38</v>
      </c>
      <c r="K438">
        <v>-5.9999999999988E-2</v>
      </c>
      <c r="L438">
        <v>19</v>
      </c>
    </row>
    <row r="439" spans="1:23" x14ac:dyDescent="0.25">
      <c r="A439" t="s">
        <v>87</v>
      </c>
      <c r="B439">
        <v>1</v>
      </c>
      <c r="C439" t="s">
        <v>24</v>
      </c>
      <c r="D439">
        <v>6.7261288166046098</v>
      </c>
      <c r="E439">
        <v>1.8096000000000001</v>
      </c>
      <c r="F439">
        <v>1.8099999999999901</v>
      </c>
      <c r="G439">
        <v>0</v>
      </c>
      <c r="H439" t="s">
        <v>25</v>
      </c>
      <c r="I439">
        <v>73.38</v>
      </c>
      <c r="J439">
        <v>73.459999999999994</v>
      </c>
      <c r="K439">
        <v>-7.9999999999984001E-2</v>
      </c>
      <c r="L439">
        <v>3</v>
      </c>
    </row>
    <row r="440" spans="1:23" x14ac:dyDescent="0.25">
      <c r="A440" t="s">
        <v>87</v>
      </c>
      <c r="B440">
        <v>2</v>
      </c>
      <c r="C440" t="s">
        <v>24</v>
      </c>
      <c r="D440">
        <v>30.155592679977399</v>
      </c>
      <c r="E440">
        <v>1.7969999999999999</v>
      </c>
      <c r="F440">
        <v>1.7999999999999901</v>
      </c>
      <c r="G440">
        <v>0</v>
      </c>
      <c r="H440" t="s">
        <v>25</v>
      </c>
      <c r="I440">
        <v>70.72</v>
      </c>
      <c r="J440">
        <v>70.900000000000006</v>
      </c>
      <c r="K440">
        <v>-0.179999999999992</v>
      </c>
      <c r="L440">
        <v>10</v>
      </c>
    </row>
    <row r="441" spans="1:23" x14ac:dyDescent="0.25">
      <c r="A441" t="s">
        <v>87</v>
      </c>
      <c r="B441">
        <v>3</v>
      </c>
      <c r="C441" t="s">
        <v>24</v>
      </c>
      <c r="D441">
        <v>36.996297836303697</v>
      </c>
      <c r="E441">
        <v>2.9619</v>
      </c>
      <c r="F441">
        <v>2.97</v>
      </c>
      <c r="G441">
        <v>0</v>
      </c>
      <c r="H441" t="s">
        <v>25</v>
      </c>
      <c r="I441">
        <v>72.58</v>
      </c>
      <c r="J441">
        <v>72.97</v>
      </c>
      <c r="K441">
        <v>-0.38999999999998602</v>
      </c>
      <c r="L441">
        <v>13</v>
      </c>
    </row>
    <row r="442" spans="1:23" x14ac:dyDescent="0.25">
      <c r="A442" t="s">
        <v>87</v>
      </c>
      <c r="B442">
        <v>4</v>
      </c>
      <c r="C442" t="s">
        <v>24</v>
      </c>
      <c r="D442">
        <v>41.712881803512502</v>
      </c>
      <c r="E442">
        <v>1.6689000000000001</v>
      </c>
      <c r="F442">
        <v>1.67</v>
      </c>
      <c r="G442">
        <v>0</v>
      </c>
      <c r="H442" t="s">
        <v>25</v>
      </c>
      <c r="I442">
        <v>72.599999999999994</v>
      </c>
      <c r="J442">
        <v>73.02</v>
      </c>
      <c r="K442">
        <v>-0.41999999999998699</v>
      </c>
      <c r="L442">
        <v>15</v>
      </c>
    </row>
    <row r="443" spans="1:23" x14ac:dyDescent="0.25">
      <c r="A443" t="s">
        <v>87</v>
      </c>
      <c r="B443">
        <v>5</v>
      </c>
      <c r="C443" t="s">
        <v>24</v>
      </c>
      <c r="D443">
        <v>51.945842027664099</v>
      </c>
      <c r="E443">
        <v>2.9619</v>
      </c>
      <c r="F443">
        <v>2.97</v>
      </c>
      <c r="G443">
        <v>0</v>
      </c>
      <c r="H443" t="s">
        <v>25</v>
      </c>
      <c r="I443">
        <v>74.58</v>
      </c>
      <c r="J443">
        <v>75.09</v>
      </c>
      <c r="K443">
        <v>-0.50999999999999002</v>
      </c>
      <c r="L443">
        <v>17</v>
      </c>
    </row>
    <row r="444" spans="1:23" x14ac:dyDescent="0.25">
      <c r="A444" t="s">
        <v>87</v>
      </c>
      <c r="B444">
        <v>6</v>
      </c>
      <c r="C444" t="s">
        <v>24</v>
      </c>
      <c r="D444">
        <v>67.7148694992065</v>
      </c>
      <c r="E444">
        <v>1.8096000000000001</v>
      </c>
      <c r="F444">
        <v>1.8099999999999901</v>
      </c>
      <c r="G444">
        <v>0</v>
      </c>
      <c r="H444" t="s">
        <v>25</v>
      </c>
      <c r="I444">
        <v>72.42</v>
      </c>
      <c r="J444">
        <v>73.06</v>
      </c>
      <c r="K444">
        <v>-0.63999999999998602</v>
      </c>
      <c r="L444">
        <v>22</v>
      </c>
    </row>
    <row r="445" spans="1:23" x14ac:dyDescent="0.25">
      <c r="A445" t="s">
        <v>87</v>
      </c>
      <c r="B445">
        <v>7</v>
      </c>
      <c r="C445" t="s">
        <v>24</v>
      </c>
      <c r="D445">
        <v>71.998564243316594</v>
      </c>
      <c r="E445">
        <v>1.7969999999999999</v>
      </c>
      <c r="F445">
        <v>1.7999999999999901</v>
      </c>
      <c r="G445">
        <v>0</v>
      </c>
      <c r="H445" t="s">
        <v>25</v>
      </c>
      <c r="I445">
        <v>73.11</v>
      </c>
      <c r="J445">
        <v>73.78</v>
      </c>
      <c r="K445">
        <v>-0.67000000000000104</v>
      </c>
      <c r="L445">
        <v>23</v>
      </c>
    </row>
    <row r="446" spans="1:23" x14ac:dyDescent="0.25">
      <c r="A446" t="s">
        <v>88</v>
      </c>
      <c r="B446">
        <v>1</v>
      </c>
      <c r="C446" t="s">
        <v>24</v>
      </c>
      <c r="D446">
        <v>16.868460416793798</v>
      </c>
      <c r="E446">
        <v>1.7969999999999999</v>
      </c>
      <c r="F446">
        <v>1.7999999999999901</v>
      </c>
      <c r="G446">
        <v>0</v>
      </c>
      <c r="H446" t="s">
        <v>25</v>
      </c>
      <c r="I446">
        <v>73.959999999999994</v>
      </c>
      <c r="J446">
        <v>74.02</v>
      </c>
      <c r="K446">
        <v>-5.9999999999988E-2</v>
      </c>
      <c r="L446">
        <v>8</v>
      </c>
    </row>
    <row r="447" spans="1:23" x14ac:dyDescent="0.25">
      <c r="A447" t="s">
        <v>88</v>
      </c>
      <c r="B447">
        <v>2</v>
      </c>
      <c r="C447" t="s">
        <v>24</v>
      </c>
      <c r="D447">
        <v>21.032174348831099</v>
      </c>
      <c r="E447">
        <v>1.7319</v>
      </c>
      <c r="F447">
        <v>1.74</v>
      </c>
      <c r="G447">
        <v>0</v>
      </c>
      <c r="H447" t="s">
        <v>25</v>
      </c>
      <c r="I447">
        <v>74.62</v>
      </c>
      <c r="J447">
        <v>74.69</v>
      </c>
      <c r="K447">
        <v>-6.9999999999993096E-2</v>
      </c>
      <c r="L447">
        <v>6</v>
      </c>
    </row>
    <row r="448" spans="1:23" x14ac:dyDescent="0.25">
      <c r="A448" t="s">
        <v>88</v>
      </c>
      <c r="B448">
        <v>3</v>
      </c>
      <c r="C448" t="s">
        <v>24</v>
      </c>
      <c r="D448">
        <v>41.957652330398503</v>
      </c>
      <c r="E448">
        <v>1.79</v>
      </c>
      <c r="F448">
        <v>1.79</v>
      </c>
      <c r="G448">
        <v>0</v>
      </c>
      <c r="H448" t="s">
        <v>25</v>
      </c>
      <c r="I448">
        <v>72.88</v>
      </c>
      <c r="J448">
        <v>73.14</v>
      </c>
      <c r="K448">
        <v>-0.25999999999999002</v>
      </c>
      <c r="L448">
        <v>14</v>
      </c>
    </row>
    <row r="449" spans="1:23" x14ac:dyDescent="0.25">
      <c r="A449" t="s">
        <v>88</v>
      </c>
      <c r="B449">
        <v>4</v>
      </c>
      <c r="C449" t="s">
        <v>24</v>
      </c>
      <c r="D449">
        <v>43.7039022445678</v>
      </c>
      <c r="E449">
        <v>3.58</v>
      </c>
      <c r="F449">
        <v>3.5799999999999899</v>
      </c>
      <c r="G449">
        <v>0</v>
      </c>
      <c r="H449" t="s">
        <v>25</v>
      </c>
      <c r="I449">
        <v>76.459999999999994</v>
      </c>
      <c r="J449">
        <v>76.72</v>
      </c>
      <c r="K449">
        <v>-0.25999999999999002</v>
      </c>
      <c r="L449">
        <v>14</v>
      </c>
    </row>
    <row r="450" spans="1:23" x14ac:dyDescent="0.25">
      <c r="A450" t="s">
        <v>88</v>
      </c>
      <c r="B450">
        <v>5</v>
      </c>
      <c r="C450" t="s">
        <v>24</v>
      </c>
      <c r="D450">
        <v>47.309653997421201</v>
      </c>
      <c r="E450">
        <v>7.16</v>
      </c>
      <c r="F450">
        <v>7.16</v>
      </c>
      <c r="G450">
        <v>0</v>
      </c>
      <c r="H450" t="s">
        <v>25</v>
      </c>
      <c r="I450">
        <v>83.617800000000003</v>
      </c>
      <c r="J450">
        <v>81.94</v>
      </c>
      <c r="K450">
        <v>1.67780000000001</v>
      </c>
      <c r="L450">
        <v>14</v>
      </c>
    </row>
    <row r="451" spans="1:23" x14ac:dyDescent="0.25">
      <c r="A451" t="s">
        <v>88</v>
      </c>
      <c r="B451">
        <v>6</v>
      </c>
      <c r="C451" t="s">
        <v>24</v>
      </c>
      <c r="D451">
        <v>54.435430049896198</v>
      </c>
      <c r="E451">
        <v>7.16</v>
      </c>
      <c r="F451">
        <v>7.16</v>
      </c>
      <c r="G451">
        <v>0</v>
      </c>
      <c r="H451" t="s">
        <v>25</v>
      </c>
      <c r="I451">
        <v>90.777799999999999</v>
      </c>
      <c r="J451">
        <v>87.71</v>
      </c>
      <c r="K451">
        <v>3.0678000000000099</v>
      </c>
      <c r="L451">
        <v>14</v>
      </c>
    </row>
    <row r="452" spans="1:23" x14ac:dyDescent="0.25">
      <c r="A452" t="s">
        <v>88</v>
      </c>
      <c r="B452">
        <v>7</v>
      </c>
      <c r="C452" t="s">
        <v>24</v>
      </c>
      <c r="D452">
        <v>65.144535541534395</v>
      </c>
      <c r="E452">
        <v>1.7319</v>
      </c>
      <c r="F452">
        <v>1.74</v>
      </c>
      <c r="G452">
        <v>0</v>
      </c>
      <c r="H452" t="s">
        <v>25</v>
      </c>
      <c r="I452">
        <v>84.827799999999996</v>
      </c>
      <c r="J452">
        <v>83.6</v>
      </c>
      <c r="K452">
        <v>1.22780000000001</v>
      </c>
      <c r="L452">
        <v>18</v>
      </c>
    </row>
    <row r="453" spans="1:23" x14ac:dyDescent="0.25">
      <c r="A453" t="s">
        <v>89</v>
      </c>
      <c r="B453">
        <v>1</v>
      </c>
      <c r="C453" t="s">
        <v>26</v>
      </c>
      <c r="D453">
        <v>17.5855696201324</v>
      </c>
      <c r="E453">
        <v>0</v>
      </c>
      <c r="F453">
        <v>0</v>
      </c>
      <c r="G453">
        <v>3.35</v>
      </c>
      <c r="H453" t="s">
        <v>27</v>
      </c>
      <c r="I453">
        <v>75.78</v>
      </c>
      <c r="J453">
        <v>73.12</v>
      </c>
      <c r="K453">
        <v>2.6599999999999899</v>
      </c>
      <c r="L453">
        <v>8</v>
      </c>
      <c r="M453">
        <v>8</v>
      </c>
      <c r="N453">
        <v>6</v>
      </c>
      <c r="O453">
        <v>8</v>
      </c>
      <c r="P453">
        <v>6</v>
      </c>
      <c r="Q453">
        <v>3.05</v>
      </c>
      <c r="R453">
        <v>3.59</v>
      </c>
      <c r="S453">
        <v>3.05</v>
      </c>
      <c r="T453">
        <v>3.4638</v>
      </c>
      <c r="U453">
        <v>3.35</v>
      </c>
      <c r="V453">
        <v>0.41</v>
      </c>
      <c r="W453">
        <v>0</v>
      </c>
    </row>
    <row r="454" spans="1:23" x14ac:dyDescent="0.25">
      <c r="A454" t="s">
        <v>89</v>
      </c>
      <c r="B454">
        <v>2</v>
      </c>
      <c r="C454" t="s">
        <v>24</v>
      </c>
      <c r="D454">
        <v>38.667079448699901</v>
      </c>
      <c r="E454">
        <v>1.6689000000000001</v>
      </c>
      <c r="F454">
        <v>1.67</v>
      </c>
      <c r="G454">
        <v>0</v>
      </c>
      <c r="H454" t="s">
        <v>25</v>
      </c>
      <c r="I454">
        <v>74.06</v>
      </c>
      <c r="J454">
        <v>70.02</v>
      </c>
      <c r="K454">
        <v>4.04</v>
      </c>
      <c r="L454">
        <v>15</v>
      </c>
    </row>
    <row r="455" spans="1:23" x14ac:dyDescent="0.25">
      <c r="A455" t="s">
        <v>89</v>
      </c>
      <c r="B455">
        <v>3</v>
      </c>
      <c r="C455" t="s">
        <v>24</v>
      </c>
      <c r="D455">
        <v>40.375242710113497</v>
      </c>
      <c r="E455">
        <v>3.3378000000000001</v>
      </c>
      <c r="F455">
        <v>3.33</v>
      </c>
      <c r="G455">
        <v>0</v>
      </c>
      <c r="H455" t="s">
        <v>25</v>
      </c>
      <c r="I455">
        <v>77.39</v>
      </c>
      <c r="J455">
        <v>73.36</v>
      </c>
      <c r="K455">
        <v>4.03</v>
      </c>
      <c r="L455">
        <v>15</v>
      </c>
    </row>
    <row r="456" spans="1:23" x14ac:dyDescent="0.25">
      <c r="A456" t="s">
        <v>89</v>
      </c>
      <c r="B456">
        <v>4</v>
      </c>
      <c r="C456" t="s">
        <v>24</v>
      </c>
      <c r="D456">
        <v>43.668041467666598</v>
      </c>
      <c r="E456">
        <v>6.6756000000000002</v>
      </c>
      <c r="F456">
        <v>6.68</v>
      </c>
      <c r="G456">
        <v>0</v>
      </c>
      <c r="H456" t="s">
        <v>25</v>
      </c>
      <c r="I456">
        <v>84.07</v>
      </c>
      <c r="J456">
        <v>78.569999999999993</v>
      </c>
      <c r="K456">
        <v>5.5000000000000098</v>
      </c>
      <c r="L456">
        <v>15</v>
      </c>
    </row>
    <row r="457" spans="1:23" x14ac:dyDescent="0.25">
      <c r="A457" t="s">
        <v>90</v>
      </c>
      <c r="B457">
        <v>1</v>
      </c>
      <c r="C457" t="s">
        <v>24</v>
      </c>
      <c r="D457">
        <v>17.772070646286</v>
      </c>
      <c r="E457">
        <v>1.7969999999999999</v>
      </c>
      <c r="F457">
        <v>1.7999999999999901</v>
      </c>
      <c r="G457">
        <v>0</v>
      </c>
      <c r="H457" t="s">
        <v>25</v>
      </c>
      <c r="I457">
        <v>74.72</v>
      </c>
      <c r="J457">
        <v>74.97</v>
      </c>
      <c r="K457">
        <v>-0.24999999999998501</v>
      </c>
      <c r="L457">
        <v>8</v>
      </c>
    </row>
    <row r="458" spans="1:23" x14ac:dyDescent="0.25">
      <c r="A458" t="s">
        <v>90</v>
      </c>
      <c r="B458">
        <v>2</v>
      </c>
      <c r="C458" t="s">
        <v>24</v>
      </c>
      <c r="D458">
        <v>41.265545368194502</v>
      </c>
      <c r="E458">
        <v>1.79</v>
      </c>
      <c r="F458">
        <v>1.79</v>
      </c>
      <c r="G458">
        <v>0</v>
      </c>
      <c r="H458" t="s">
        <v>25</v>
      </c>
      <c r="I458">
        <v>71.67</v>
      </c>
      <c r="J458">
        <v>72.44</v>
      </c>
      <c r="K458">
        <v>-0.76999999999999602</v>
      </c>
      <c r="L458">
        <v>14</v>
      </c>
    </row>
    <row r="459" spans="1:23" x14ac:dyDescent="0.25">
      <c r="A459" t="s">
        <v>90</v>
      </c>
      <c r="B459">
        <v>3</v>
      </c>
      <c r="C459" t="s">
        <v>24</v>
      </c>
      <c r="D459">
        <v>43.049452781677203</v>
      </c>
      <c r="E459">
        <v>3.58</v>
      </c>
      <c r="F459">
        <v>3.5799999999999899</v>
      </c>
      <c r="G459">
        <v>0</v>
      </c>
      <c r="H459" t="s">
        <v>25</v>
      </c>
      <c r="I459">
        <v>75.25</v>
      </c>
      <c r="J459">
        <v>76.02</v>
      </c>
      <c r="K459">
        <v>-0.76999999999998103</v>
      </c>
      <c r="L459">
        <v>14</v>
      </c>
    </row>
    <row r="460" spans="1:23" x14ac:dyDescent="0.25">
      <c r="A460" t="s">
        <v>90</v>
      </c>
      <c r="B460">
        <v>4</v>
      </c>
      <c r="C460" t="s">
        <v>24</v>
      </c>
      <c r="D460">
        <v>47.218211650848303</v>
      </c>
      <c r="E460">
        <v>1.6689000000000001</v>
      </c>
      <c r="F460">
        <v>1.67</v>
      </c>
      <c r="G460">
        <v>0</v>
      </c>
      <c r="H460" t="s">
        <v>25</v>
      </c>
      <c r="I460">
        <v>74.12</v>
      </c>
      <c r="J460">
        <v>74.98</v>
      </c>
      <c r="K460">
        <v>-0.85999999999999899</v>
      </c>
      <c r="L460">
        <v>15</v>
      </c>
    </row>
    <row r="461" spans="1:23" x14ac:dyDescent="0.25">
      <c r="A461" t="s">
        <v>90</v>
      </c>
      <c r="B461">
        <v>5</v>
      </c>
      <c r="C461" t="s">
        <v>24</v>
      </c>
      <c r="D461">
        <v>48.8627672195434</v>
      </c>
      <c r="E461">
        <v>3.3378000000000001</v>
      </c>
      <c r="F461">
        <v>3.33</v>
      </c>
      <c r="G461">
        <v>0</v>
      </c>
      <c r="H461" t="s">
        <v>25</v>
      </c>
      <c r="I461">
        <v>77.45</v>
      </c>
      <c r="J461">
        <v>78.319999999999993</v>
      </c>
      <c r="K461">
        <v>-0.86999999999999</v>
      </c>
      <c r="L461">
        <v>15</v>
      </c>
    </row>
    <row r="462" spans="1:23" x14ac:dyDescent="0.25">
      <c r="A462" t="s">
        <v>90</v>
      </c>
      <c r="B462">
        <v>6</v>
      </c>
      <c r="C462" t="s">
        <v>24</v>
      </c>
      <c r="D462">
        <v>52.289999723434399</v>
      </c>
      <c r="E462">
        <v>6.6756000000000002</v>
      </c>
      <c r="F462">
        <v>6.68</v>
      </c>
      <c r="G462">
        <v>0</v>
      </c>
      <c r="H462" t="s">
        <v>25</v>
      </c>
      <c r="I462">
        <v>84.13</v>
      </c>
      <c r="J462">
        <v>84.99</v>
      </c>
      <c r="K462">
        <v>-0.859999999999985</v>
      </c>
      <c r="L462">
        <v>15</v>
      </c>
    </row>
    <row r="463" spans="1:23" x14ac:dyDescent="0.25">
      <c r="A463" t="s">
        <v>90</v>
      </c>
      <c r="B463">
        <v>7</v>
      </c>
      <c r="C463" t="s">
        <v>24</v>
      </c>
      <c r="D463">
        <v>65.523362874984699</v>
      </c>
      <c r="E463">
        <v>1.7969999999999999</v>
      </c>
      <c r="F463">
        <v>1.7999999999999901</v>
      </c>
      <c r="G463">
        <v>0</v>
      </c>
      <c r="H463" t="s">
        <v>25</v>
      </c>
      <c r="I463">
        <v>79.31</v>
      </c>
      <c r="J463">
        <v>80.42</v>
      </c>
      <c r="K463">
        <v>-1.1099999999999901</v>
      </c>
      <c r="L463">
        <v>19</v>
      </c>
    </row>
    <row r="464" spans="1:23" x14ac:dyDescent="0.25">
      <c r="A464" t="s">
        <v>90</v>
      </c>
      <c r="B464">
        <v>8</v>
      </c>
      <c r="C464" t="s">
        <v>24</v>
      </c>
      <c r="D464">
        <v>67.302621603012</v>
      </c>
      <c r="E464">
        <v>3.5939999999999999</v>
      </c>
      <c r="F464">
        <v>3.59</v>
      </c>
      <c r="G464">
        <v>0</v>
      </c>
      <c r="H464" t="s">
        <v>25</v>
      </c>
      <c r="I464">
        <v>82.9</v>
      </c>
      <c r="J464">
        <v>84.02</v>
      </c>
      <c r="K464">
        <v>-1.1199999999999899</v>
      </c>
      <c r="L464">
        <v>19</v>
      </c>
    </row>
    <row r="465" spans="1:12" x14ac:dyDescent="0.25">
      <c r="A465" t="s">
        <v>90</v>
      </c>
      <c r="B465">
        <v>9</v>
      </c>
      <c r="C465" t="s">
        <v>24</v>
      </c>
      <c r="D465">
        <v>76.2930490970611</v>
      </c>
      <c r="E465">
        <v>1.7969999999999999</v>
      </c>
      <c r="F465">
        <v>1.7999999999999901</v>
      </c>
      <c r="G465">
        <v>0</v>
      </c>
      <c r="H465" t="s">
        <v>25</v>
      </c>
      <c r="I465">
        <v>80.3</v>
      </c>
      <c r="J465">
        <v>81.61</v>
      </c>
      <c r="K465">
        <v>-1.31</v>
      </c>
      <c r="L465">
        <v>23</v>
      </c>
    </row>
    <row r="466" spans="1:12" x14ac:dyDescent="0.25">
      <c r="A466" t="s">
        <v>90</v>
      </c>
      <c r="B466">
        <v>10</v>
      </c>
      <c r="C466" t="s">
        <v>24</v>
      </c>
      <c r="D466">
        <v>81.078459501266394</v>
      </c>
      <c r="E466">
        <v>1.8096000000000001</v>
      </c>
      <c r="F466">
        <v>1.8099999999999901</v>
      </c>
      <c r="G466">
        <v>0</v>
      </c>
      <c r="H466" t="s">
        <v>25</v>
      </c>
      <c r="I466">
        <v>81.449999999999903</v>
      </c>
      <c r="J466">
        <v>82.83</v>
      </c>
      <c r="K466">
        <v>-1.38</v>
      </c>
      <c r="L466">
        <v>22</v>
      </c>
    </row>
    <row r="467" spans="1:12" x14ac:dyDescent="0.25">
      <c r="A467" t="s">
        <v>91</v>
      </c>
      <c r="B467">
        <v>1</v>
      </c>
      <c r="C467" t="s">
        <v>24</v>
      </c>
      <c r="D467">
        <v>36.305779218673699</v>
      </c>
      <c r="E467">
        <v>2.9619</v>
      </c>
      <c r="F467">
        <v>2.97</v>
      </c>
      <c r="G467">
        <v>0</v>
      </c>
      <c r="H467" t="s">
        <v>25</v>
      </c>
      <c r="I467">
        <v>72.12</v>
      </c>
      <c r="J467">
        <v>72.19</v>
      </c>
      <c r="K467">
        <v>-6.9999999999993096E-2</v>
      </c>
      <c r="L467">
        <v>13</v>
      </c>
    </row>
    <row r="468" spans="1:12" x14ac:dyDescent="0.25">
      <c r="A468" t="s">
        <v>91</v>
      </c>
      <c r="B468">
        <v>2</v>
      </c>
      <c r="C468" t="s">
        <v>24</v>
      </c>
      <c r="D468">
        <v>39.182473182678201</v>
      </c>
      <c r="E468">
        <v>5.9238</v>
      </c>
      <c r="F468">
        <v>5.92</v>
      </c>
      <c r="G468">
        <v>0</v>
      </c>
      <c r="H468" t="s">
        <v>25</v>
      </c>
      <c r="I468">
        <v>78.040000000000006</v>
      </c>
      <c r="J468">
        <v>78.11</v>
      </c>
      <c r="K468">
        <v>-6.9999999999993096E-2</v>
      </c>
      <c r="L468">
        <v>13</v>
      </c>
    </row>
    <row r="469" spans="1:12" x14ac:dyDescent="0.25">
      <c r="A469" t="s">
        <v>91</v>
      </c>
      <c r="B469">
        <v>3</v>
      </c>
      <c r="C469" t="s">
        <v>24</v>
      </c>
      <c r="D469">
        <v>45.203310728073099</v>
      </c>
      <c r="E469">
        <v>11.8476</v>
      </c>
      <c r="F469">
        <v>11.85</v>
      </c>
      <c r="G469">
        <v>0</v>
      </c>
      <c r="H469" t="s">
        <v>25</v>
      </c>
      <c r="I469">
        <v>89.89</v>
      </c>
      <c r="J469">
        <v>89.96</v>
      </c>
      <c r="K469">
        <v>-6.9999999999978899E-2</v>
      </c>
      <c r="L469">
        <v>13</v>
      </c>
    </row>
    <row r="470" spans="1:12" x14ac:dyDescent="0.25">
      <c r="A470" t="s">
        <v>91</v>
      </c>
      <c r="B470">
        <v>4</v>
      </c>
      <c r="C470" t="s">
        <v>24</v>
      </c>
      <c r="D470">
        <v>50.012050390243502</v>
      </c>
      <c r="E470">
        <v>1.6689000000000001</v>
      </c>
      <c r="F470">
        <v>1.67</v>
      </c>
      <c r="G470">
        <v>0</v>
      </c>
      <c r="H470" t="s">
        <v>25</v>
      </c>
      <c r="I470">
        <v>81.17</v>
      </c>
      <c r="J470">
        <v>81.33</v>
      </c>
      <c r="K470">
        <v>-0.15999999999998199</v>
      </c>
      <c r="L470">
        <v>15</v>
      </c>
    </row>
    <row r="471" spans="1:12" x14ac:dyDescent="0.25">
      <c r="A471" t="s">
        <v>91</v>
      </c>
      <c r="B471">
        <v>5</v>
      </c>
      <c r="C471" t="s">
        <v>24</v>
      </c>
      <c r="D471">
        <v>51.641629219055098</v>
      </c>
      <c r="E471">
        <v>3.3378000000000001</v>
      </c>
      <c r="F471">
        <v>3.33</v>
      </c>
      <c r="G471">
        <v>0</v>
      </c>
      <c r="H471" t="s">
        <v>25</v>
      </c>
      <c r="I471">
        <v>84.5</v>
      </c>
      <c r="J471">
        <v>84.67</v>
      </c>
      <c r="K471">
        <v>-0.16999999999998699</v>
      </c>
      <c r="L471">
        <v>15</v>
      </c>
    </row>
    <row r="472" spans="1:12" x14ac:dyDescent="0.25">
      <c r="A472" t="s">
        <v>91</v>
      </c>
      <c r="B472">
        <v>6</v>
      </c>
      <c r="C472" t="s">
        <v>24</v>
      </c>
      <c r="D472">
        <v>55.061782836913999</v>
      </c>
      <c r="E472">
        <v>6.6756000000000002</v>
      </c>
      <c r="F472">
        <v>6.68</v>
      </c>
      <c r="G472">
        <v>0</v>
      </c>
      <c r="H472" t="s">
        <v>25</v>
      </c>
      <c r="I472">
        <v>91.18</v>
      </c>
      <c r="J472">
        <v>89.97</v>
      </c>
      <c r="K472">
        <v>1.21</v>
      </c>
      <c r="L472">
        <v>15</v>
      </c>
    </row>
    <row r="473" spans="1:12" x14ac:dyDescent="0.25">
      <c r="A473" t="s">
        <v>91</v>
      </c>
      <c r="B473">
        <v>7</v>
      </c>
      <c r="C473" t="s">
        <v>24</v>
      </c>
      <c r="D473">
        <v>61.6719522476196</v>
      </c>
      <c r="E473">
        <v>6.6756000000000002</v>
      </c>
      <c r="F473">
        <v>6.68</v>
      </c>
      <c r="G473">
        <v>0</v>
      </c>
      <c r="H473" t="s">
        <v>25</v>
      </c>
      <c r="I473">
        <v>97.86</v>
      </c>
      <c r="J473">
        <v>94.44</v>
      </c>
      <c r="K473">
        <v>3.4200000000000101</v>
      </c>
      <c r="L473">
        <v>15</v>
      </c>
    </row>
    <row r="474" spans="1:12" x14ac:dyDescent="0.25">
      <c r="A474" t="s">
        <v>91</v>
      </c>
      <c r="B474">
        <v>8</v>
      </c>
      <c r="C474" t="s">
        <v>24</v>
      </c>
      <c r="D474">
        <v>68.421036005020099</v>
      </c>
      <c r="E474">
        <v>6.6756000000000002</v>
      </c>
      <c r="F474">
        <v>6.67</v>
      </c>
      <c r="G474">
        <v>0</v>
      </c>
      <c r="H474" t="s">
        <v>25</v>
      </c>
      <c r="I474">
        <v>104.53</v>
      </c>
      <c r="J474">
        <v>101.12</v>
      </c>
      <c r="K474">
        <v>3.4100000000000099</v>
      </c>
      <c r="L474">
        <v>15</v>
      </c>
    </row>
    <row r="475" spans="1:12" x14ac:dyDescent="0.25">
      <c r="A475" t="s">
        <v>92</v>
      </c>
      <c r="B475">
        <v>1</v>
      </c>
      <c r="C475" t="s">
        <v>24</v>
      </c>
      <c r="D475">
        <v>6.8418843746185303</v>
      </c>
      <c r="E475">
        <v>1.8096000000000001</v>
      </c>
      <c r="F475">
        <v>1.8099999999999901</v>
      </c>
      <c r="G475">
        <v>0</v>
      </c>
      <c r="H475" t="s">
        <v>25</v>
      </c>
      <c r="I475">
        <v>73.400000000000006</v>
      </c>
      <c r="J475">
        <v>73.510000000000005</v>
      </c>
      <c r="K475">
        <v>-0.109999999999999</v>
      </c>
      <c r="L475">
        <v>3</v>
      </c>
    </row>
    <row r="476" spans="1:12" x14ac:dyDescent="0.25">
      <c r="A476" t="s">
        <v>92</v>
      </c>
      <c r="B476">
        <v>2</v>
      </c>
      <c r="C476" t="s">
        <v>24</v>
      </c>
      <c r="D476">
        <v>28.785894393920898</v>
      </c>
      <c r="E476">
        <v>1.7969999999999999</v>
      </c>
      <c r="F476">
        <v>1.7999999999999901</v>
      </c>
      <c r="G476">
        <v>0</v>
      </c>
      <c r="H476" t="s">
        <v>25</v>
      </c>
      <c r="I476">
        <v>72.5</v>
      </c>
      <c r="J476">
        <v>72.97</v>
      </c>
      <c r="K476">
        <v>-0.46999999999999797</v>
      </c>
      <c r="L476">
        <v>10</v>
      </c>
    </row>
    <row r="477" spans="1:12" x14ac:dyDescent="0.25">
      <c r="A477" t="s">
        <v>92</v>
      </c>
      <c r="B477">
        <v>3</v>
      </c>
      <c r="C477" t="s">
        <v>24</v>
      </c>
      <c r="D477">
        <v>39.216978549957197</v>
      </c>
      <c r="E477">
        <v>2.9619</v>
      </c>
      <c r="F477">
        <v>2.97</v>
      </c>
      <c r="G477">
        <v>0</v>
      </c>
      <c r="H477" t="s">
        <v>25</v>
      </c>
      <c r="I477">
        <v>74.52</v>
      </c>
      <c r="J477">
        <v>75.17</v>
      </c>
      <c r="K477">
        <v>-0.64999999999999103</v>
      </c>
      <c r="L477">
        <v>13</v>
      </c>
    </row>
    <row r="478" spans="1:12" x14ac:dyDescent="0.25">
      <c r="A478" t="s">
        <v>92</v>
      </c>
      <c r="B478">
        <v>4</v>
      </c>
      <c r="C478" t="s">
        <v>24</v>
      </c>
      <c r="D478">
        <v>42.179841041564899</v>
      </c>
      <c r="E478">
        <v>5.9238</v>
      </c>
      <c r="F478">
        <v>5.92</v>
      </c>
      <c r="G478">
        <v>0</v>
      </c>
      <c r="H478" t="s">
        <v>25</v>
      </c>
      <c r="I478">
        <v>80.44</v>
      </c>
      <c r="J478">
        <v>81.099999999999994</v>
      </c>
      <c r="K478">
        <v>-0.65999999999998205</v>
      </c>
      <c r="L478">
        <v>13</v>
      </c>
    </row>
    <row r="479" spans="1:12" x14ac:dyDescent="0.25">
      <c r="A479" t="s">
        <v>92</v>
      </c>
      <c r="B479">
        <v>5</v>
      </c>
      <c r="C479" t="s">
        <v>24</v>
      </c>
      <c r="D479">
        <v>57.466710567474301</v>
      </c>
      <c r="E479">
        <v>1.7319</v>
      </c>
      <c r="F479">
        <v>1.74</v>
      </c>
      <c r="G479">
        <v>0</v>
      </c>
      <c r="H479" t="s">
        <v>25</v>
      </c>
      <c r="I479">
        <v>74.930000000000007</v>
      </c>
      <c r="J479">
        <v>76.09</v>
      </c>
      <c r="K479">
        <v>-1.1599999999999799</v>
      </c>
      <c r="L479">
        <v>18</v>
      </c>
    </row>
    <row r="480" spans="1:12" x14ac:dyDescent="0.25">
      <c r="A480" t="s">
        <v>93</v>
      </c>
      <c r="B480">
        <v>1</v>
      </c>
      <c r="C480" t="s">
        <v>24</v>
      </c>
      <c r="D480">
        <v>4.0208463668823198</v>
      </c>
      <c r="E480">
        <v>1.9964999999999999</v>
      </c>
      <c r="F480">
        <v>2</v>
      </c>
      <c r="G480">
        <v>0</v>
      </c>
      <c r="H480" t="s">
        <v>25</v>
      </c>
      <c r="I480">
        <v>74.489999999999995</v>
      </c>
      <c r="J480">
        <v>74.53</v>
      </c>
      <c r="K480">
        <v>-3.9999999999992E-2</v>
      </c>
      <c r="L480">
        <v>2</v>
      </c>
    </row>
    <row r="481" spans="1:23" x14ac:dyDescent="0.25">
      <c r="A481" t="s">
        <v>93</v>
      </c>
      <c r="B481">
        <v>2</v>
      </c>
      <c r="C481" t="s">
        <v>24</v>
      </c>
      <c r="D481">
        <v>16.826374053955</v>
      </c>
      <c r="E481">
        <v>1.7969999999999999</v>
      </c>
      <c r="F481">
        <v>1.7999999999999901</v>
      </c>
      <c r="G481">
        <v>0</v>
      </c>
      <c r="H481" t="s">
        <v>25</v>
      </c>
      <c r="I481">
        <v>73.89</v>
      </c>
      <c r="J481">
        <v>73.97</v>
      </c>
      <c r="K481">
        <v>-7.9999999999998295E-2</v>
      </c>
      <c r="L481">
        <v>8</v>
      </c>
    </row>
    <row r="482" spans="1:23" x14ac:dyDescent="0.25">
      <c r="A482" t="s">
        <v>93</v>
      </c>
      <c r="B482">
        <v>3</v>
      </c>
      <c r="C482" t="s">
        <v>24</v>
      </c>
      <c r="D482">
        <v>28.4194333553314</v>
      </c>
      <c r="E482">
        <v>1.7319</v>
      </c>
      <c r="F482">
        <v>1.74</v>
      </c>
      <c r="G482">
        <v>0</v>
      </c>
      <c r="H482" t="s">
        <v>25</v>
      </c>
      <c r="I482">
        <v>72.39</v>
      </c>
      <c r="J482">
        <v>72.7</v>
      </c>
      <c r="K482">
        <v>-0.310000000000002</v>
      </c>
      <c r="L482">
        <v>12</v>
      </c>
    </row>
    <row r="483" spans="1:23" x14ac:dyDescent="0.25">
      <c r="A483" t="s">
        <v>93</v>
      </c>
      <c r="B483">
        <v>4</v>
      </c>
      <c r="C483" t="s">
        <v>24</v>
      </c>
      <c r="D483">
        <v>30.245503425598098</v>
      </c>
      <c r="E483">
        <v>3.4638</v>
      </c>
      <c r="F483">
        <v>3.46</v>
      </c>
      <c r="G483">
        <v>0</v>
      </c>
      <c r="H483" t="s">
        <v>25</v>
      </c>
      <c r="I483">
        <v>75.849999999999994</v>
      </c>
      <c r="J483">
        <v>76.17</v>
      </c>
      <c r="K483">
        <v>-0.31999999999999301</v>
      </c>
      <c r="L483">
        <v>12</v>
      </c>
    </row>
    <row r="484" spans="1:23" x14ac:dyDescent="0.25">
      <c r="A484" t="s">
        <v>93</v>
      </c>
      <c r="B484">
        <v>5</v>
      </c>
      <c r="C484" t="s">
        <v>24</v>
      </c>
      <c r="D484">
        <v>45.928665399551299</v>
      </c>
      <c r="E484">
        <v>1.6689000000000001</v>
      </c>
      <c r="F484">
        <v>1.67</v>
      </c>
      <c r="G484">
        <v>0</v>
      </c>
      <c r="H484" t="s">
        <v>25</v>
      </c>
      <c r="I484">
        <v>73.09</v>
      </c>
      <c r="J484">
        <v>73.72</v>
      </c>
      <c r="K484">
        <v>-0.62999999999999501</v>
      </c>
      <c r="L484">
        <v>15</v>
      </c>
    </row>
    <row r="485" spans="1:23" x14ac:dyDescent="0.25">
      <c r="A485" t="s">
        <v>93</v>
      </c>
      <c r="B485">
        <v>6</v>
      </c>
      <c r="C485" t="s">
        <v>24</v>
      </c>
      <c r="D485">
        <v>58.882762670516897</v>
      </c>
      <c r="E485">
        <v>1.7969999999999999</v>
      </c>
      <c r="F485">
        <v>1.7999999999999901</v>
      </c>
      <c r="G485">
        <v>0</v>
      </c>
      <c r="H485" t="s">
        <v>25</v>
      </c>
      <c r="I485">
        <v>73.010000000000005</v>
      </c>
      <c r="J485">
        <v>73.790000000000006</v>
      </c>
      <c r="K485">
        <v>-0.78000000000000103</v>
      </c>
      <c r="L485">
        <v>19</v>
      </c>
    </row>
    <row r="486" spans="1:23" x14ac:dyDescent="0.25">
      <c r="A486" t="s">
        <v>94</v>
      </c>
      <c r="B486">
        <v>1</v>
      </c>
      <c r="C486" t="s">
        <v>24</v>
      </c>
      <c r="D486">
        <v>6.2234997749328604</v>
      </c>
      <c r="E486">
        <v>1.8096000000000001</v>
      </c>
      <c r="F486">
        <v>1.8099999999999901</v>
      </c>
      <c r="G486">
        <v>0</v>
      </c>
      <c r="H486" t="s">
        <v>25</v>
      </c>
      <c r="I486">
        <v>72.819999999999993</v>
      </c>
      <c r="J486">
        <v>72.89</v>
      </c>
      <c r="K486">
        <v>-6.9999999999993096E-2</v>
      </c>
      <c r="L486">
        <v>3</v>
      </c>
    </row>
    <row r="487" spans="1:23" x14ac:dyDescent="0.25">
      <c r="A487" t="s">
        <v>94</v>
      </c>
      <c r="B487">
        <v>2</v>
      </c>
      <c r="C487" t="s">
        <v>24</v>
      </c>
      <c r="D487">
        <v>43.130813360214198</v>
      </c>
      <c r="E487">
        <v>1.6689000000000001</v>
      </c>
      <c r="F487">
        <v>1.67</v>
      </c>
      <c r="G487">
        <v>0</v>
      </c>
      <c r="H487" t="s">
        <v>25</v>
      </c>
      <c r="I487">
        <v>70.459999999999994</v>
      </c>
      <c r="J487">
        <v>70.92</v>
      </c>
      <c r="K487">
        <v>-0.45999999999999303</v>
      </c>
      <c r="L487">
        <v>15</v>
      </c>
    </row>
    <row r="488" spans="1:23" x14ac:dyDescent="0.25">
      <c r="A488" t="s">
        <v>94</v>
      </c>
      <c r="B488">
        <v>3</v>
      </c>
      <c r="C488" t="s">
        <v>26</v>
      </c>
      <c r="D488">
        <v>52.884446620941098</v>
      </c>
      <c r="E488">
        <v>0</v>
      </c>
      <c r="F488">
        <v>0</v>
      </c>
      <c r="G488">
        <v>3.35</v>
      </c>
      <c r="H488" t="s">
        <v>27</v>
      </c>
      <c r="I488">
        <v>72.069999999999993</v>
      </c>
      <c r="J488">
        <v>69.489999999999995</v>
      </c>
      <c r="K488">
        <v>2.5799999999999899</v>
      </c>
      <c r="L488">
        <v>18</v>
      </c>
      <c r="M488">
        <v>18</v>
      </c>
      <c r="N488">
        <v>19</v>
      </c>
      <c r="O488">
        <v>18</v>
      </c>
      <c r="P488">
        <v>19</v>
      </c>
      <c r="Q488">
        <v>3.23</v>
      </c>
      <c r="R488">
        <v>3.46</v>
      </c>
      <c r="S488">
        <v>3.23</v>
      </c>
      <c r="T488">
        <v>3.5939999999999999</v>
      </c>
      <c r="U488">
        <v>3.35</v>
      </c>
      <c r="V488">
        <v>0.35999999999999899</v>
      </c>
      <c r="W488">
        <v>0</v>
      </c>
    </row>
    <row r="489" spans="1:23" x14ac:dyDescent="0.25">
      <c r="A489" t="s">
        <v>95</v>
      </c>
      <c r="B489">
        <v>1</v>
      </c>
      <c r="C489" t="s">
        <v>24</v>
      </c>
      <c r="D489">
        <v>6.2133219242095903</v>
      </c>
      <c r="E489">
        <v>1.8096000000000001</v>
      </c>
      <c r="F489">
        <v>1.8099999999999901</v>
      </c>
      <c r="G489">
        <v>0</v>
      </c>
      <c r="H489" t="s">
        <v>25</v>
      </c>
      <c r="I489">
        <v>72.849999999999994</v>
      </c>
      <c r="J489">
        <v>72.92</v>
      </c>
      <c r="K489">
        <v>-6.9999999999993096E-2</v>
      </c>
      <c r="L489">
        <v>3</v>
      </c>
    </row>
    <row r="490" spans="1:23" x14ac:dyDescent="0.25">
      <c r="A490" t="s">
        <v>96</v>
      </c>
      <c r="B490">
        <v>1</v>
      </c>
      <c r="C490" t="s">
        <v>24</v>
      </c>
      <c r="D490">
        <v>4.0301501750946001</v>
      </c>
      <c r="E490">
        <v>1.9964999999999999</v>
      </c>
      <c r="F490">
        <v>2</v>
      </c>
      <c r="G490">
        <v>0</v>
      </c>
      <c r="H490" t="s">
        <v>25</v>
      </c>
      <c r="I490">
        <v>74.489999999999995</v>
      </c>
      <c r="J490">
        <v>74.53</v>
      </c>
      <c r="K490">
        <v>-3.9999999999992E-2</v>
      </c>
      <c r="L490">
        <v>2</v>
      </c>
    </row>
    <row r="491" spans="1:23" x14ac:dyDescent="0.25">
      <c r="A491" t="s">
        <v>96</v>
      </c>
      <c r="B491">
        <v>2</v>
      </c>
      <c r="C491" t="s">
        <v>24</v>
      </c>
      <c r="D491">
        <v>6.0200736522674498</v>
      </c>
      <c r="E491">
        <v>3.9929999999999999</v>
      </c>
      <c r="F491">
        <v>3.99</v>
      </c>
      <c r="G491">
        <v>0</v>
      </c>
      <c r="H491" t="s">
        <v>25</v>
      </c>
      <c r="I491">
        <v>78.48</v>
      </c>
      <c r="J491">
        <v>78.52</v>
      </c>
      <c r="K491">
        <v>-3.9999999999992E-2</v>
      </c>
      <c r="L491">
        <v>2</v>
      </c>
    </row>
    <row r="492" spans="1:23" x14ac:dyDescent="0.25">
      <c r="A492" t="s">
        <v>96</v>
      </c>
      <c r="B492">
        <v>3</v>
      </c>
      <c r="C492" t="s">
        <v>24</v>
      </c>
      <c r="D492">
        <v>10.0013279914855</v>
      </c>
      <c r="E492">
        <v>7.9859999999999998</v>
      </c>
      <c r="F492">
        <v>7.9899999999999904</v>
      </c>
      <c r="G492">
        <v>0</v>
      </c>
      <c r="H492" t="s">
        <v>25</v>
      </c>
      <c r="I492">
        <v>86.469200000000001</v>
      </c>
      <c r="J492">
        <v>83.15</v>
      </c>
      <c r="K492">
        <v>3.3191999999999999</v>
      </c>
      <c r="L492">
        <v>2</v>
      </c>
    </row>
    <row r="493" spans="1:23" x14ac:dyDescent="0.25">
      <c r="A493" t="s">
        <v>96</v>
      </c>
      <c r="B493">
        <v>4</v>
      </c>
      <c r="C493" t="s">
        <v>24</v>
      </c>
      <c r="D493">
        <v>64.2859334945678</v>
      </c>
      <c r="E493">
        <v>1.7969999999999999</v>
      </c>
      <c r="F493">
        <v>1.7999999999999901</v>
      </c>
      <c r="G493">
        <v>0</v>
      </c>
      <c r="H493" t="s">
        <v>25</v>
      </c>
      <c r="I493">
        <v>79.299199999999999</v>
      </c>
      <c r="J493">
        <v>79.180000000000007</v>
      </c>
      <c r="K493">
        <v>0.11919999999999201</v>
      </c>
      <c r="L493">
        <v>19</v>
      </c>
    </row>
    <row r="494" spans="1:23" x14ac:dyDescent="0.25">
      <c r="A494" t="s">
        <v>96</v>
      </c>
      <c r="B494">
        <v>5</v>
      </c>
      <c r="C494" t="s">
        <v>24</v>
      </c>
      <c r="D494">
        <v>66.099803686141897</v>
      </c>
      <c r="E494">
        <v>3.5939999999999999</v>
      </c>
      <c r="F494">
        <v>3.59</v>
      </c>
      <c r="G494">
        <v>0</v>
      </c>
      <c r="H494" t="s">
        <v>25</v>
      </c>
      <c r="I494">
        <v>82.889200000000002</v>
      </c>
      <c r="J494">
        <v>82.78</v>
      </c>
      <c r="K494">
        <v>0.109200000000001</v>
      </c>
      <c r="L494">
        <v>19</v>
      </c>
    </row>
    <row r="495" spans="1:23" x14ac:dyDescent="0.25">
      <c r="A495" t="s">
        <v>96</v>
      </c>
      <c r="B495">
        <v>6</v>
      </c>
      <c r="C495" t="s">
        <v>24</v>
      </c>
      <c r="D495">
        <v>69.670388221740694</v>
      </c>
      <c r="E495">
        <v>7.1879999999999997</v>
      </c>
      <c r="F495">
        <v>7.19</v>
      </c>
      <c r="G495">
        <v>0</v>
      </c>
      <c r="H495" t="s">
        <v>25</v>
      </c>
      <c r="I495">
        <v>90.0792</v>
      </c>
      <c r="J495">
        <v>89.96</v>
      </c>
      <c r="K495">
        <v>0.119200000000006</v>
      </c>
      <c r="L495">
        <v>19</v>
      </c>
    </row>
    <row r="496" spans="1:23" x14ac:dyDescent="0.25">
      <c r="A496" t="s">
        <v>97</v>
      </c>
      <c r="B496">
        <v>1</v>
      </c>
      <c r="C496" t="s">
        <v>24</v>
      </c>
      <c r="D496">
        <v>17.460250377655001</v>
      </c>
      <c r="E496">
        <v>1.7319</v>
      </c>
      <c r="F496">
        <v>1.74</v>
      </c>
      <c r="G496">
        <v>0</v>
      </c>
      <c r="H496" t="s">
        <v>25</v>
      </c>
      <c r="I496">
        <v>74.59</v>
      </c>
      <c r="J496">
        <v>74.709999999999994</v>
      </c>
      <c r="K496">
        <v>-0.11999999999999</v>
      </c>
      <c r="L496">
        <v>6</v>
      </c>
    </row>
    <row r="497" spans="1:12" x14ac:dyDescent="0.25">
      <c r="A497" t="s">
        <v>97</v>
      </c>
      <c r="B497">
        <v>2</v>
      </c>
      <c r="C497" t="s">
        <v>24</v>
      </c>
      <c r="D497">
        <v>19.224560737609799</v>
      </c>
      <c r="E497">
        <v>3.4638</v>
      </c>
      <c r="F497">
        <v>3.46</v>
      </c>
      <c r="G497">
        <v>0</v>
      </c>
      <c r="H497" t="s">
        <v>25</v>
      </c>
      <c r="I497">
        <v>78.05</v>
      </c>
      <c r="J497">
        <v>78.17</v>
      </c>
      <c r="K497">
        <v>-0.11999999999999</v>
      </c>
      <c r="L497">
        <v>6</v>
      </c>
    </row>
    <row r="498" spans="1:12" x14ac:dyDescent="0.25">
      <c r="A498" t="s">
        <v>97</v>
      </c>
      <c r="B498">
        <v>3</v>
      </c>
      <c r="C498" t="s">
        <v>24</v>
      </c>
      <c r="D498">
        <v>22.664263963699302</v>
      </c>
      <c r="E498">
        <v>6.9276</v>
      </c>
      <c r="F498">
        <v>6.93</v>
      </c>
      <c r="G498">
        <v>0</v>
      </c>
      <c r="H498" t="s">
        <v>25</v>
      </c>
      <c r="I498">
        <v>84.983999999999995</v>
      </c>
      <c r="J498">
        <v>82.46</v>
      </c>
      <c r="K498">
        <v>2.5240000000000098</v>
      </c>
      <c r="L498">
        <v>6</v>
      </c>
    </row>
    <row r="499" spans="1:12" x14ac:dyDescent="0.25">
      <c r="A499" t="s">
        <v>97</v>
      </c>
      <c r="B499">
        <v>4</v>
      </c>
      <c r="C499" t="s">
        <v>24</v>
      </c>
      <c r="D499">
        <v>39.699274539947503</v>
      </c>
      <c r="E499">
        <v>1.7969999999999999</v>
      </c>
      <c r="F499">
        <v>1.7999999999999901</v>
      </c>
      <c r="G499">
        <v>0</v>
      </c>
      <c r="H499" t="s">
        <v>25</v>
      </c>
      <c r="I499">
        <v>81.644000000000005</v>
      </c>
      <c r="J499">
        <v>83.9</v>
      </c>
      <c r="K499">
        <v>-2.2559999999999998</v>
      </c>
      <c r="L499">
        <v>10</v>
      </c>
    </row>
    <row r="500" spans="1:12" x14ac:dyDescent="0.25">
      <c r="A500" t="s">
        <v>97</v>
      </c>
      <c r="B500">
        <v>5</v>
      </c>
      <c r="C500" t="s">
        <v>24</v>
      </c>
      <c r="D500">
        <v>65.905638933181706</v>
      </c>
      <c r="E500">
        <v>1.7969999999999999</v>
      </c>
      <c r="F500">
        <v>1.7999999999999901</v>
      </c>
      <c r="G500">
        <v>0</v>
      </c>
      <c r="H500" t="s">
        <v>25</v>
      </c>
      <c r="I500">
        <v>78.254000000000005</v>
      </c>
      <c r="J500">
        <v>80.81</v>
      </c>
      <c r="K500">
        <v>-2.5559999999999898</v>
      </c>
      <c r="L500">
        <v>19</v>
      </c>
    </row>
    <row r="501" spans="1:12" x14ac:dyDescent="0.25">
      <c r="A501" t="s">
        <v>97</v>
      </c>
      <c r="B501">
        <v>6</v>
      </c>
      <c r="C501" t="s">
        <v>24</v>
      </c>
      <c r="D501">
        <v>75.2125177383422</v>
      </c>
      <c r="E501">
        <v>1.7969999999999999</v>
      </c>
      <c r="F501">
        <v>1.7999999999999901</v>
      </c>
      <c r="G501">
        <v>0</v>
      </c>
      <c r="H501" t="s">
        <v>25</v>
      </c>
      <c r="I501">
        <v>77.673999999999893</v>
      </c>
      <c r="J501">
        <v>80.56</v>
      </c>
      <c r="K501">
        <v>-2.8860000000000099</v>
      </c>
      <c r="L501">
        <v>23</v>
      </c>
    </row>
  </sheetData>
  <sortState xmlns:xlrd2="http://schemas.microsoft.com/office/spreadsheetml/2017/richdata2" ref="A2:W501">
    <sortCondition ref="A2:A501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829F-2F52-49CB-A463-4978EF54A4A4}">
  <dimension ref="A1:U73"/>
  <sheetViews>
    <sheetView workbookViewId="0">
      <selection activeCell="C9" sqref="C9"/>
    </sheetView>
  </sheetViews>
  <sheetFormatPr defaultRowHeight="16.5" x14ac:dyDescent="0.25"/>
  <cols>
    <col min="1" max="1" width="17.25" style="5" bestFit="1" customWidth="1"/>
    <col min="2" max="2" width="10.25" style="5" bestFit="1" customWidth="1"/>
    <col min="3" max="3" width="15" style="5" bestFit="1" customWidth="1"/>
    <col min="4" max="4" width="9.125" style="5" customWidth="1"/>
    <col min="5" max="5" width="11" style="5" customWidth="1"/>
    <col min="6" max="6" width="9.375" style="5" customWidth="1"/>
    <col min="7" max="7" width="8.5" style="5" customWidth="1"/>
    <col min="8" max="8" width="7.75" style="5" customWidth="1"/>
    <col min="9" max="9" width="9" style="5"/>
    <col min="10" max="10" width="17.75" bestFit="1" customWidth="1"/>
    <col min="11" max="11" width="19.625" customWidth="1"/>
    <col min="13" max="13" width="16.75" customWidth="1"/>
    <col min="16" max="16" width="17.875" style="5" customWidth="1"/>
    <col min="17" max="17" width="9" style="5"/>
    <col min="18" max="18" width="20.625" style="5" customWidth="1"/>
    <col min="19" max="16384" width="9" style="5"/>
  </cols>
  <sheetData>
    <row r="1" spans="1:21" x14ac:dyDescent="0.25">
      <c r="A1" s="4" t="s">
        <v>274</v>
      </c>
      <c r="B1" s="5" t="s">
        <v>273</v>
      </c>
      <c r="C1" s="5" t="s">
        <v>272</v>
      </c>
      <c r="D1" s="6" t="s">
        <v>101</v>
      </c>
      <c r="E1" s="6" t="s">
        <v>270</v>
      </c>
      <c r="F1" s="6" t="s">
        <v>103</v>
      </c>
      <c r="G1" s="6" t="s">
        <v>313</v>
      </c>
      <c r="H1" s="6" t="s">
        <v>271</v>
      </c>
      <c r="I1" s="6" t="s">
        <v>106</v>
      </c>
      <c r="J1" s="6" t="s">
        <v>282</v>
      </c>
      <c r="K1" s="6" t="s">
        <v>283</v>
      </c>
      <c r="L1" s="6" t="s">
        <v>284</v>
      </c>
      <c r="M1" s="6" t="s">
        <v>293</v>
      </c>
      <c r="N1" s="6" t="s">
        <v>299</v>
      </c>
      <c r="O1" s="11" t="s">
        <v>305</v>
      </c>
      <c r="P1" s="6" t="s">
        <v>275</v>
      </c>
      <c r="Q1" s="6" t="s">
        <v>311</v>
      </c>
      <c r="R1" s="6" t="s">
        <v>279</v>
      </c>
      <c r="S1" s="6" t="s">
        <v>312</v>
      </c>
      <c r="T1" s="6" t="s">
        <v>314</v>
      </c>
      <c r="U1" s="6" t="s">
        <v>315</v>
      </c>
    </row>
    <row r="2" spans="1:21" x14ac:dyDescent="0.25">
      <c r="A2" s="5" t="s">
        <v>71</v>
      </c>
      <c r="B2" s="19">
        <v>1</v>
      </c>
      <c r="C2" s="19">
        <v>1</v>
      </c>
      <c r="D2" s="7">
        <f>_xlfn.XLOOKUP(A2,batch_final_timeline_by_case!A:A,batch_final_timeline_by_case!D:D,"")</f>
        <v>67.930000000000007</v>
      </c>
      <c r="E2" s="5">
        <f>_xlfn.XLOOKUP(A2,batch_final_timeline_by_case!A:A,batch_final_timeline_by_case!E:E,"")</f>
        <v>65.52</v>
      </c>
      <c r="F2" s="7">
        <f>_xlfn.XLOOKUP(A2,batch_final_timeline_by_case!A:A,batch_final_timeline_by_case!F:F,"")</f>
        <v>2.41</v>
      </c>
      <c r="G2" s="5">
        <f>_xlfn.XLOOKUP(A2,batch_final_timeline_by_case!A:A,batch_final_timeline_by_case!G:G,"")</f>
        <v>1</v>
      </c>
      <c r="H2" s="5">
        <f>_xlfn.XLOOKUP(A2,batch_final_timeline_by_case!A:A,batch_final_timeline_by_case!H:H,"")</f>
        <v>0</v>
      </c>
      <c r="I2" s="5">
        <f>_xlfn.XLOOKUP(A2,batch_final_timeline_by_case!A:A,batch_final_timeline_by_case!I:I,"")</f>
        <v>0</v>
      </c>
      <c r="J2" s="8">
        <f>IF(D2=0,"",ABS(F2)/D2)</f>
        <v>3.5477697629913145E-2</v>
      </c>
      <c r="K2">
        <f>IF(J2&gt;=0.05,1,0)</f>
        <v>0</v>
      </c>
      <c r="L2">
        <f>IF(AND(G2=1,K2=1),1,0)</f>
        <v>0</v>
      </c>
      <c r="M2">
        <f>_xlfn.XLOOKUP(A2,idle_time_ratio_summary!A:A,idle_time_ratio_summary!G:G,"")</f>
        <v>1</v>
      </c>
      <c r="N2">
        <f>_xlfn.XLOOKUP(A2,idle_time_ratio_summary!A:A,idle_time_ratio_summary!M:M,"")</f>
        <v>1</v>
      </c>
      <c r="O2">
        <f>_xlfn.XLOOKUP(A2,idle_time_ratio_summary!A:A,idle_time_ratio_summary!N:N,"")</f>
        <v>0</v>
      </c>
      <c r="P2" s="5" t="str">
        <f t="shared" ref="P2:P33" si="0">IF(B2&lt;=2,"1-2",IF(B2&lt;=4,"3-4",IF(B2&lt;=7,"5-7",IF(B2&lt;=11,"8-11","12+"))))</f>
        <v>1-2</v>
      </c>
      <c r="Q2" s="5">
        <f>IF(B2&lt;=11,B2,IF(B2&lt;20,"12-19","20+"))</f>
        <v>1</v>
      </c>
      <c r="R2" s="5" t="str">
        <f t="shared" ref="R2:R33" si="1">IF(C2&lt;=3,"3-","4+")</f>
        <v>3-</v>
      </c>
      <c r="S2" s="5">
        <f>IF(C2&lt;=7,C2,"8+")</f>
        <v>1</v>
      </c>
      <c r="T2" s="8">
        <f>IF(G2=1,J2,0)</f>
        <v>3.5477697629913145E-2</v>
      </c>
      <c r="U2" s="8">
        <f>IF(H2=1,ABS(F2)/E2,0)</f>
        <v>0</v>
      </c>
    </row>
    <row r="3" spans="1:21" x14ac:dyDescent="0.25">
      <c r="A3" s="5" t="s">
        <v>95</v>
      </c>
      <c r="B3" s="19">
        <v>1</v>
      </c>
      <c r="C3" s="19">
        <v>1</v>
      </c>
      <c r="D3" s="7">
        <f>_xlfn.XLOOKUP(A3,batch_final_timeline_by_case!A:A,batch_final_timeline_by_case!D:D,"")</f>
        <v>68.34</v>
      </c>
      <c r="E3" s="5">
        <f>_xlfn.XLOOKUP(A3,batch_final_timeline_by_case!A:A,batch_final_timeline_by_case!E:E,"")</f>
        <v>68.64</v>
      </c>
      <c r="F3" s="7">
        <f>_xlfn.XLOOKUP(A3,batch_final_timeline_by_case!A:A,batch_final_timeline_by_case!F:F,"")</f>
        <v>-0.3</v>
      </c>
      <c r="G3" s="5">
        <f>_xlfn.XLOOKUP(A3,batch_final_timeline_by_case!A:A,batch_final_timeline_by_case!G:G,"")</f>
        <v>0</v>
      </c>
      <c r="H3" s="5">
        <f>_xlfn.XLOOKUP(A3,batch_final_timeline_by_case!A:A,batch_final_timeline_by_case!H:H,"")</f>
        <v>1</v>
      </c>
      <c r="I3" s="5">
        <f>_xlfn.XLOOKUP(A3,batch_final_timeline_by_case!A:A,batch_final_timeline_by_case!I:I,"")</f>
        <v>0</v>
      </c>
      <c r="J3" s="8">
        <f t="shared" ref="J3:J66" si="2">IF(D3=0,"",ABS(F3)/D3)</f>
        <v>4.389815627743634E-3</v>
      </c>
      <c r="K3">
        <f t="shared" ref="K3:K66" si="3">IF(J3&gt;=0.05,1,0)</f>
        <v>0</v>
      </c>
      <c r="L3">
        <f t="shared" ref="L3:L66" si="4">IF(AND(G3=1,K3=1),1,0)</f>
        <v>0</v>
      </c>
      <c r="M3">
        <f>_xlfn.XLOOKUP(A3,idle_time_ratio_summary!A:A,idle_time_ratio_summary!G:G,"")</f>
        <v>0</v>
      </c>
      <c r="N3">
        <f>_xlfn.XLOOKUP(A3,idle_time_ratio_summary!A:A,idle_time_ratio_summary!M:M,"")</f>
        <v>0</v>
      </c>
      <c r="O3">
        <f>_xlfn.XLOOKUP(A3,idle_time_ratio_summary!A:A,idle_time_ratio_summary!N:N,"")</f>
        <v>0</v>
      </c>
      <c r="P3" s="5" t="str">
        <f t="shared" si="0"/>
        <v>1-2</v>
      </c>
      <c r="Q3" s="5">
        <f t="shared" ref="Q3:Q66" si="5">IF(B3&lt;=11,B3,IF(B3&lt;20,"12-19","20+"))</f>
        <v>1</v>
      </c>
      <c r="R3" s="5" t="str">
        <f t="shared" si="1"/>
        <v>3-</v>
      </c>
      <c r="S3" s="5">
        <f t="shared" ref="S3:S66" si="6">IF(C3&lt;=7,C3,"8+")</f>
        <v>1</v>
      </c>
      <c r="T3" s="8">
        <f>IF(G3=1,J3,0)</f>
        <v>0</v>
      </c>
      <c r="U3" s="8">
        <f t="shared" ref="U3:U66" si="7">IF(H3=1,ABS(F3)/E3,0)</f>
        <v>4.3706293706293701E-3</v>
      </c>
    </row>
    <row r="4" spans="1:21" x14ac:dyDescent="0.25">
      <c r="A4" s="5" t="s">
        <v>72</v>
      </c>
      <c r="B4" s="19">
        <v>1</v>
      </c>
      <c r="C4" s="19">
        <v>1</v>
      </c>
      <c r="D4" s="7">
        <f>_xlfn.XLOOKUP(A4,batch_final_timeline_by_case!A:A,batch_final_timeline_by_case!D:D,"")</f>
        <v>67.84</v>
      </c>
      <c r="E4" s="5">
        <f>_xlfn.XLOOKUP(A4,batch_final_timeline_by_case!A:A,batch_final_timeline_by_case!E:E,"")</f>
        <v>65.87</v>
      </c>
      <c r="F4" s="7">
        <f>_xlfn.XLOOKUP(A4,batch_final_timeline_by_case!A:A,batch_final_timeline_by_case!F:F,"")</f>
        <v>1.97</v>
      </c>
      <c r="G4" s="5">
        <f>_xlfn.XLOOKUP(A4,batch_final_timeline_by_case!A:A,batch_final_timeline_by_case!G:G,"")</f>
        <v>1</v>
      </c>
      <c r="H4" s="5">
        <f>_xlfn.XLOOKUP(A4,batch_final_timeline_by_case!A:A,batch_final_timeline_by_case!H:H,"")</f>
        <v>0</v>
      </c>
      <c r="I4" s="5">
        <f>_xlfn.XLOOKUP(A4,batch_final_timeline_by_case!A:A,batch_final_timeline_by_case!I:I,"")</f>
        <v>0</v>
      </c>
      <c r="J4" s="8">
        <f t="shared" si="2"/>
        <v>2.9038915094339621E-2</v>
      </c>
      <c r="K4">
        <f t="shared" si="3"/>
        <v>0</v>
      </c>
      <c r="L4">
        <f t="shared" si="4"/>
        <v>0</v>
      </c>
      <c r="M4">
        <f>_xlfn.XLOOKUP(A4,idle_time_ratio_summary!A:A,idle_time_ratio_summary!G:G,"")</f>
        <v>1</v>
      </c>
      <c r="N4">
        <f>_xlfn.XLOOKUP(A4,idle_time_ratio_summary!A:A,idle_time_ratio_summary!M:M,"")</f>
        <v>1</v>
      </c>
      <c r="O4">
        <f>_xlfn.XLOOKUP(A4,idle_time_ratio_summary!A:A,idle_time_ratio_summary!N:N,"")</f>
        <v>0</v>
      </c>
      <c r="P4" s="5" t="str">
        <f t="shared" si="0"/>
        <v>1-2</v>
      </c>
      <c r="Q4" s="5">
        <f t="shared" si="5"/>
        <v>1</v>
      </c>
      <c r="R4" s="5" t="str">
        <f t="shared" si="1"/>
        <v>3-</v>
      </c>
      <c r="S4" s="5">
        <f t="shared" si="6"/>
        <v>1</v>
      </c>
      <c r="T4" s="8">
        <f t="shared" ref="T4:T66" si="8">IF(G4=1,J4,0)</f>
        <v>2.9038915094339621E-2</v>
      </c>
      <c r="U4" s="8">
        <f t="shared" si="7"/>
        <v>0</v>
      </c>
    </row>
    <row r="5" spans="1:21" x14ac:dyDescent="0.25">
      <c r="A5" s="5" t="s">
        <v>55</v>
      </c>
      <c r="B5" s="19">
        <v>2</v>
      </c>
      <c r="C5" s="19">
        <v>1</v>
      </c>
      <c r="D5" s="7">
        <f>_xlfn.XLOOKUP(A5,batch_final_timeline_by_case!A:A,batch_final_timeline_by_case!D:D,"")</f>
        <v>68.39</v>
      </c>
      <c r="E5" s="5">
        <f>_xlfn.XLOOKUP(A5,batch_final_timeline_by_case!A:A,batch_final_timeline_by_case!E:E,"")</f>
        <v>68.430000000000007</v>
      </c>
      <c r="F5" s="7">
        <f>_xlfn.XLOOKUP(A5,batch_final_timeline_by_case!A:A,batch_final_timeline_by_case!F:F,"")</f>
        <v>-0.04</v>
      </c>
      <c r="G5" s="5">
        <f>_xlfn.XLOOKUP(A5,batch_final_timeline_by_case!A:A,batch_final_timeline_by_case!G:G,"")</f>
        <v>0</v>
      </c>
      <c r="H5" s="5">
        <f>_xlfn.XLOOKUP(A5,batch_final_timeline_by_case!A:A,batch_final_timeline_by_case!H:H,"")</f>
        <v>1</v>
      </c>
      <c r="I5" s="5">
        <f>_xlfn.XLOOKUP(A5,batch_final_timeline_by_case!A:A,batch_final_timeline_by_case!I:I,"")</f>
        <v>0</v>
      </c>
      <c r="J5" s="8">
        <f t="shared" si="2"/>
        <v>5.8488083053077932E-4</v>
      </c>
      <c r="K5">
        <f t="shared" si="3"/>
        <v>0</v>
      </c>
      <c r="L5">
        <f t="shared" si="4"/>
        <v>0</v>
      </c>
      <c r="M5">
        <f>_xlfn.XLOOKUP(A5,idle_time_ratio_summary!A:A,idle_time_ratio_summary!G:G,"")</f>
        <v>0</v>
      </c>
      <c r="N5">
        <f>_xlfn.XLOOKUP(A5,idle_time_ratio_summary!A:A,idle_time_ratio_summary!M:M,"")</f>
        <v>0</v>
      </c>
      <c r="O5">
        <f>_xlfn.XLOOKUP(A5,idle_time_ratio_summary!A:A,idle_time_ratio_summary!N:N,"")</f>
        <v>0</v>
      </c>
      <c r="P5" s="5" t="str">
        <f t="shared" si="0"/>
        <v>1-2</v>
      </c>
      <c r="Q5" s="5">
        <f t="shared" si="5"/>
        <v>2</v>
      </c>
      <c r="R5" s="5" t="str">
        <f t="shared" si="1"/>
        <v>3-</v>
      </c>
      <c r="S5" s="5">
        <f t="shared" si="6"/>
        <v>1</v>
      </c>
      <c r="T5" s="8">
        <f t="shared" si="8"/>
        <v>0</v>
      </c>
      <c r="U5" s="8">
        <f t="shared" si="7"/>
        <v>5.8453894490720435E-4</v>
      </c>
    </row>
    <row r="6" spans="1:21" x14ac:dyDescent="0.25">
      <c r="A6" s="5" t="s">
        <v>73</v>
      </c>
      <c r="B6" s="19">
        <v>1</v>
      </c>
      <c r="C6" s="19">
        <v>1</v>
      </c>
      <c r="D6" s="7">
        <f>_xlfn.XLOOKUP(A6,batch_final_timeline_by_case!A:A,batch_final_timeline_by_case!D:D,"")</f>
        <v>67.709999999999994</v>
      </c>
      <c r="E6" s="5">
        <f>_xlfn.XLOOKUP(A6,batch_final_timeline_by_case!A:A,batch_final_timeline_by_case!E:E,"")</f>
        <v>63.7</v>
      </c>
      <c r="F6" s="7">
        <f>_xlfn.XLOOKUP(A6,batch_final_timeline_by_case!A:A,batch_final_timeline_by_case!F:F,"")</f>
        <v>4.01</v>
      </c>
      <c r="G6" s="5">
        <f>_xlfn.XLOOKUP(A6,batch_final_timeline_by_case!A:A,batch_final_timeline_by_case!G:G,"")</f>
        <v>1</v>
      </c>
      <c r="H6" s="5">
        <f>_xlfn.XLOOKUP(A6,batch_final_timeline_by_case!A:A,batch_final_timeline_by_case!H:H,"")</f>
        <v>0</v>
      </c>
      <c r="I6" s="5">
        <f>_xlfn.XLOOKUP(A6,batch_final_timeline_by_case!A:A,batch_final_timeline_by_case!I:I,"")</f>
        <v>0</v>
      </c>
      <c r="J6" s="8">
        <f t="shared" si="2"/>
        <v>5.9223157583813323E-2</v>
      </c>
      <c r="K6">
        <f t="shared" si="3"/>
        <v>1</v>
      </c>
      <c r="L6">
        <f t="shared" si="4"/>
        <v>1</v>
      </c>
      <c r="M6">
        <f>_xlfn.XLOOKUP(A6,idle_time_ratio_summary!A:A,idle_time_ratio_summary!G:G,"")</f>
        <v>1</v>
      </c>
      <c r="N6">
        <f>_xlfn.XLOOKUP(A6,idle_time_ratio_summary!A:A,idle_time_ratio_summary!M:M,"")</f>
        <v>1</v>
      </c>
      <c r="O6">
        <f>_xlfn.XLOOKUP(A6,idle_time_ratio_summary!A:A,idle_time_ratio_summary!N:N,"")</f>
        <v>1</v>
      </c>
      <c r="P6" s="5" t="str">
        <f t="shared" si="0"/>
        <v>1-2</v>
      </c>
      <c r="Q6" s="5">
        <f t="shared" si="5"/>
        <v>1</v>
      </c>
      <c r="R6" s="5" t="str">
        <f t="shared" si="1"/>
        <v>3-</v>
      </c>
      <c r="S6" s="5">
        <f t="shared" si="6"/>
        <v>1</v>
      </c>
      <c r="T6" s="8">
        <f t="shared" si="8"/>
        <v>5.9223157583813323E-2</v>
      </c>
      <c r="U6" s="8">
        <f t="shared" si="7"/>
        <v>0</v>
      </c>
    </row>
    <row r="7" spans="1:21" x14ac:dyDescent="0.25">
      <c r="A7" s="5" t="s">
        <v>66</v>
      </c>
      <c r="B7" s="19">
        <v>4</v>
      </c>
      <c r="C7" s="19">
        <v>1</v>
      </c>
      <c r="D7" s="7">
        <f>_xlfn.XLOOKUP(A7,batch_final_timeline_by_case!A:A,batch_final_timeline_by_case!D:D,"")</f>
        <v>85.159199999999998</v>
      </c>
      <c r="E7" s="5">
        <f>_xlfn.XLOOKUP(A7,batch_final_timeline_by_case!A:A,batch_final_timeline_by_case!E:E,"")</f>
        <v>81.599999999999994</v>
      </c>
      <c r="F7" s="7">
        <f>_xlfn.XLOOKUP(A7,batch_final_timeline_by_case!A:A,batch_final_timeline_by_case!F:F,"")</f>
        <v>3.5592000000000001</v>
      </c>
      <c r="G7" s="5">
        <f>_xlfn.XLOOKUP(A7,batch_final_timeline_by_case!A:A,batch_final_timeline_by_case!G:G,"")</f>
        <v>1</v>
      </c>
      <c r="H7" s="5">
        <f>_xlfn.XLOOKUP(A7,batch_final_timeline_by_case!A:A,batch_final_timeline_by_case!H:H,"")</f>
        <v>0</v>
      </c>
      <c r="I7" s="5">
        <f>_xlfn.XLOOKUP(A7,batch_final_timeline_by_case!A:A,batch_final_timeline_by_case!I:I,"")</f>
        <v>0</v>
      </c>
      <c r="J7" s="8">
        <f t="shared" si="2"/>
        <v>4.1794662232618442E-2</v>
      </c>
      <c r="K7">
        <f t="shared" si="3"/>
        <v>0</v>
      </c>
      <c r="L7">
        <f t="shared" si="4"/>
        <v>0</v>
      </c>
      <c r="M7">
        <f>_xlfn.XLOOKUP(A7,idle_time_ratio_summary!A:A,idle_time_ratio_summary!G:G,"")</f>
        <v>0</v>
      </c>
      <c r="N7">
        <f>_xlfn.XLOOKUP(A7,idle_time_ratio_summary!A:A,idle_time_ratio_summary!M:M,"")</f>
        <v>1</v>
      </c>
      <c r="O7">
        <f>_xlfn.XLOOKUP(A7,idle_time_ratio_summary!A:A,idle_time_ratio_summary!N:N,"")</f>
        <v>1</v>
      </c>
      <c r="P7" s="5" t="str">
        <f t="shared" si="0"/>
        <v>3-4</v>
      </c>
      <c r="Q7" s="5">
        <f t="shared" si="5"/>
        <v>4</v>
      </c>
      <c r="R7" s="5" t="str">
        <f t="shared" si="1"/>
        <v>3-</v>
      </c>
      <c r="S7" s="5">
        <f t="shared" si="6"/>
        <v>1</v>
      </c>
      <c r="T7" s="8">
        <f t="shared" si="8"/>
        <v>4.1794662232618442E-2</v>
      </c>
      <c r="U7" s="8">
        <f t="shared" si="7"/>
        <v>0</v>
      </c>
    </row>
    <row r="8" spans="1:21" x14ac:dyDescent="0.25">
      <c r="A8" s="5" t="s">
        <v>75</v>
      </c>
      <c r="B8" s="19">
        <v>2</v>
      </c>
      <c r="C8" s="19">
        <v>1</v>
      </c>
      <c r="D8" s="7">
        <f>_xlfn.XLOOKUP(A8,batch_final_timeline_by_case!A:A,batch_final_timeline_by_case!D:D,"")</f>
        <v>72.999200000000002</v>
      </c>
      <c r="E8" s="5">
        <f>_xlfn.XLOOKUP(A8,batch_final_timeline_by_case!A:A,batch_final_timeline_by_case!E:E,"")</f>
        <v>69.319999999999993</v>
      </c>
      <c r="F8" s="7">
        <f>_xlfn.XLOOKUP(A8,batch_final_timeline_by_case!A:A,batch_final_timeline_by_case!F:F,"")</f>
        <v>3.6791999999999998</v>
      </c>
      <c r="G8" s="5">
        <f>_xlfn.XLOOKUP(A8,batch_final_timeline_by_case!A:A,batch_final_timeline_by_case!G:G,"")</f>
        <v>1</v>
      </c>
      <c r="H8" s="5">
        <f>_xlfn.XLOOKUP(A8,batch_final_timeline_by_case!A:A,batch_final_timeline_by_case!H:H,"")</f>
        <v>0</v>
      </c>
      <c r="I8" s="5">
        <f>_xlfn.XLOOKUP(A8,batch_final_timeline_by_case!A:A,batch_final_timeline_by_case!I:I,"")</f>
        <v>0</v>
      </c>
      <c r="J8" s="8">
        <f t="shared" si="2"/>
        <v>5.0400552334820103E-2</v>
      </c>
      <c r="K8">
        <f t="shared" si="3"/>
        <v>1</v>
      </c>
      <c r="L8">
        <f t="shared" si="4"/>
        <v>1</v>
      </c>
      <c r="M8">
        <f>_xlfn.XLOOKUP(A8,idle_time_ratio_summary!A:A,idle_time_ratio_summary!G:G,"")</f>
        <v>0</v>
      </c>
      <c r="N8">
        <f>_xlfn.XLOOKUP(A8,idle_time_ratio_summary!A:A,idle_time_ratio_summary!M:M,"")</f>
        <v>1</v>
      </c>
      <c r="O8">
        <f>_xlfn.XLOOKUP(A8,idle_time_ratio_summary!A:A,idle_time_ratio_summary!N:N,"")</f>
        <v>0</v>
      </c>
      <c r="P8" s="5" t="str">
        <f t="shared" si="0"/>
        <v>1-2</v>
      </c>
      <c r="Q8" s="5">
        <f t="shared" si="5"/>
        <v>2</v>
      </c>
      <c r="R8" s="5" t="str">
        <f t="shared" si="1"/>
        <v>3-</v>
      </c>
      <c r="S8" s="5">
        <f t="shared" si="6"/>
        <v>1</v>
      </c>
      <c r="T8" s="8">
        <f t="shared" si="8"/>
        <v>5.0400552334820103E-2</v>
      </c>
      <c r="U8" s="8">
        <f t="shared" si="7"/>
        <v>0</v>
      </c>
    </row>
    <row r="9" spans="1:21" x14ac:dyDescent="0.25">
      <c r="A9" s="5" t="s">
        <v>48</v>
      </c>
      <c r="B9" s="19">
        <v>4</v>
      </c>
      <c r="C9" s="19">
        <v>1</v>
      </c>
      <c r="D9" s="7">
        <f>_xlfn.XLOOKUP(A9,batch_final_timeline_by_case!A:A,batch_final_timeline_by_case!D:D,"")</f>
        <v>75.853800000000007</v>
      </c>
      <c r="E9" s="5">
        <f>_xlfn.XLOOKUP(A9,batch_final_timeline_by_case!A:A,batch_final_timeline_by_case!E:E,"")</f>
        <v>81.77</v>
      </c>
      <c r="F9" s="7">
        <f>_xlfn.XLOOKUP(A9,batch_final_timeline_by_case!A:A,batch_final_timeline_by_case!F:F,"")</f>
        <v>-5.9161999999999999</v>
      </c>
      <c r="G9" s="5">
        <f>_xlfn.XLOOKUP(A9,batch_final_timeline_by_case!A:A,batch_final_timeline_by_case!G:G,"")</f>
        <v>0</v>
      </c>
      <c r="H9" s="5">
        <f>_xlfn.XLOOKUP(A9,batch_final_timeline_by_case!A:A,batch_final_timeline_by_case!H:H,"")</f>
        <v>1</v>
      </c>
      <c r="I9" s="5">
        <f>_xlfn.XLOOKUP(A9,batch_final_timeline_by_case!A:A,batch_final_timeline_by_case!I:I,"")</f>
        <v>0</v>
      </c>
      <c r="J9" s="8">
        <f t="shared" si="2"/>
        <v>7.7994774157655905E-2</v>
      </c>
      <c r="K9">
        <f t="shared" si="3"/>
        <v>1</v>
      </c>
      <c r="L9">
        <f t="shared" si="4"/>
        <v>0</v>
      </c>
      <c r="M9">
        <f>_xlfn.XLOOKUP(A9,idle_time_ratio_summary!A:A,idle_time_ratio_summary!G:G,"")</f>
        <v>0</v>
      </c>
      <c r="N9">
        <f>_xlfn.XLOOKUP(A9,idle_time_ratio_summary!A:A,idle_time_ratio_summary!M:M,"")</f>
        <v>1</v>
      </c>
      <c r="O9">
        <f>_xlfn.XLOOKUP(A9,idle_time_ratio_summary!A:A,idle_time_ratio_summary!N:N,"")</f>
        <v>1</v>
      </c>
      <c r="P9" s="5" t="str">
        <f t="shared" si="0"/>
        <v>3-4</v>
      </c>
      <c r="Q9" s="5">
        <f t="shared" si="5"/>
        <v>4</v>
      </c>
      <c r="R9" s="5" t="str">
        <f t="shared" si="1"/>
        <v>3-</v>
      </c>
      <c r="S9" s="5">
        <f t="shared" si="6"/>
        <v>1</v>
      </c>
      <c r="T9" s="8">
        <f t="shared" si="8"/>
        <v>0</v>
      </c>
      <c r="U9" s="8">
        <f t="shared" si="7"/>
        <v>7.2351718234071175E-2</v>
      </c>
    </row>
    <row r="10" spans="1:21" x14ac:dyDescent="0.25">
      <c r="A10" s="5" t="s">
        <v>80</v>
      </c>
      <c r="B10" s="19">
        <v>2</v>
      </c>
      <c r="C10" s="19">
        <v>1</v>
      </c>
      <c r="D10" s="7">
        <f>_xlfn.XLOOKUP(A10,batch_final_timeline_by_case!A:A,batch_final_timeline_by_case!D:D,"")</f>
        <v>68.069999999999993</v>
      </c>
      <c r="E10" s="5">
        <f>_xlfn.XLOOKUP(A10,batch_final_timeline_by_case!A:A,batch_final_timeline_by_case!E:E,"")</f>
        <v>63.33</v>
      </c>
      <c r="F10" s="7">
        <f>_xlfn.XLOOKUP(A10,batch_final_timeline_by_case!A:A,batch_final_timeline_by_case!F:F,"")</f>
        <v>4.74</v>
      </c>
      <c r="G10" s="5">
        <f>_xlfn.XLOOKUP(A10,batch_final_timeline_by_case!A:A,batch_final_timeline_by_case!G:G,"")</f>
        <v>1</v>
      </c>
      <c r="H10" s="5">
        <f>_xlfn.XLOOKUP(A10,batch_final_timeline_by_case!A:A,batch_final_timeline_by_case!H:H,"")</f>
        <v>0</v>
      </c>
      <c r="I10" s="5">
        <f>_xlfn.XLOOKUP(A10,batch_final_timeline_by_case!A:A,batch_final_timeline_by_case!I:I,"")</f>
        <v>0</v>
      </c>
      <c r="J10" s="8">
        <f t="shared" si="2"/>
        <v>6.9634200088144568E-2</v>
      </c>
      <c r="K10">
        <f t="shared" si="3"/>
        <v>1</v>
      </c>
      <c r="L10">
        <f t="shared" si="4"/>
        <v>1</v>
      </c>
      <c r="M10">
        <f>_xlfn.XLOOKUP(A10,idle_time_ratio_summary!A:A,idle_time_ratio_summary!G:G,"")</f>
        <v>0</v>
      </c>
      <c r="N10">
        <f>_xlfn.XLOOKUP(A10,idle_time_ratio_summary!A:A,idle_time_ratio_summary!M:M,"")</f>
        <v>1</v>
      </c>
      <c r="O10">
        <f>_xlfn.XLOOKUP(A10,idle_time_ratio_summary!A:A,idle_time_ratio_summary!N:N,"")</f>
        <v>1</v>
      </c>
      <c r="P10" s="5" t="str">
        <f t="shared" si="0"/>
        <v>1-2</v>
      </c>
      <c r="Q10" s="5">
        <f t="shared" si="5"/>
        <v>2</v>
      </c>
      <c r="R10" s="5" t="str">
        <f t="shared" si="1"/>
        <v>3-</v>
      </c>
      <c r="S10" s="5">
        <f t="shared" si="6"/>
        <v>1</v>
      </c>
      <c r="T10" s="8">
        <f t="shared" si="8"/>
        <v>6.9634200088144568E-2</v>
      </c>
      <c r="U10" s="8">
        <f t="shared" si="7"/>
        <v>0</v>
      </c>
    </row>
    <row r="11" spans="1:21" x14ac:dyDescent="0.25">
      <c r="A11" s="5" t="s">
        <v>70</v>
      </c>
      <c r="B11" s="19">
        <v>1</v>
      </c>
      <c r="C11" s="19">
        <v>1</v>
      </c>
      <c r="D11" s="7">
        <f>_xlfn.XLOOKUP(A11,batch_final_timeline_by_case!A:A,batch_final_timeline_by_case!D:D,"")</f>
        <v>67.849999999999994</v>
      </c>
      <c r="E11" s="5">
        <f>_xlfn.XLOOKUP(A11,batch_final_timeline_by_case!A:A,batch_final_timeline_by_case!E:E,"")</f>
        <v>65.349999999999994</v>
      </c>
      <c r="F11" s="7">
        <f>_xlfn.XLOOKUP(A11,batch_final_timeline_by_case!A:A,batch_final_timeline_by_case!F:F,"")</f>
        <v>2.5</v>
      </c>
      <c r="G11" s="5">
        <f>_xlfn.XLOOKUP(A11,batch_final_timeline_by_case!A:A,batch_final_timeline_by_case!G:G,"")</f>
        <v>1</v>
      </c>
      <c r="H11" s="5">
        <f>_xlfn.XLOOKUP(A11,batch_final_timeline_by_case!A:A,batch_final_timeline_by_case!H:H,"")</f>
        <v>0</v>
      </c>
      <c r="I11" s="5">
        <f>_xlfn.XLOOKUP(A11,batch_final_timeline_by_case!A:A,batch_final_timeline_by_case!I:I,"")</f>
        <v>0</v>
      </c>
      <c r="J11" s="8">
        <f t="shared" si="2"/>
        <v>3.6845983787767135E-2</v>
      </c>
      <c r="K11">
        <f t="shared" si="3"/>
        <v>0</v>
      </c>
      <c r="L11">
        <f t="shared" si="4"/>
        <v>0</v>
      </c>
      <c r="M11">
        <f>_xlfn.XLOOKUP(A11,idle_time_ratio_summary!A:A,idle_time_ratio_summary!G:G,"")</f>
        <v>1</v>
      </c>
      <c r="N11">
        <f>_xlfn.XLOOKUP(A11,idle_time_ratio_summary!A:A,idle_time_ratio_summary!M:M,"")</f>
        <v>1</v>
      </c>
      <c r="O11">
        <f>_xlfn.XLOOKUP(A11,idle_time_ratio_summary!A:A,idle_time_ratio_summary!N:N,"")</f>
        <v>0</v>
      </c>
      <c r="P11" s="5" t="str">
        <f t="shared" si="0"/>
        <v>1-2</v>
      </c>
      <c r="Q11" s="5">
        <f t="shared" si="5"/>
        <v>1</v>
      </c>
      <c r="R11" s="5" t="str">
        <f t="shared" si="1"/>
        <v>3-</v>
      </c>
      <c r="S11" s="5">
        <f t="shared" si="6"/>
        <v>1</v>
      </c>
      <c r="T11" s="8">
        <f t="shared" si="8"/>
        <v>3.6845983787767135E-2</v>
      </c>
      <c r="U11" s="8">
        <f t="shared" si="7"/>
        <v>0</v>
      </c>
    </row>
    <row r="12" spans="1:21" x14ac:dyDescent="0.25">
      <c r="A12" s="5" t="s">
        <v>81</v>
      </c>
      <c r="B12" s="19">
        <v>1</v>
      </c>
      <c r="C12" s="19">
        <v>1</v>
      </c>
      <c r="D12" s="7">
        <f>_xlfn.XLOOKUP(A12,batch_final_timeline_by_case!A:A,batch_final_timeline_by_case!D:D,"")</f>
        <v>68.34</v>
      </c>
      <c r="E12" s="5">
        <f>_xlfn.XLOOKUP(A12,batch_final_timeline_by_case!A:A,batch_final_timeline_by_case!E:E,"")</f>
        <v>67.650000000000006</v>
      </c>
      <c r="F12" s="7">
        <f>_xlfn.XLOOKUP(A12,batch_final_timeline_by_case!A:A,batch_final_timeline_by_case!F:F,"")</f>
        <v>0.69</v>
      </c>
      <c r="G12" s="5">
        <f>_xlfn.XLOOKUP(A12,batch_final_timeline_by_case!A:A,batch_final_timeline_by_case!G:G,"")</f>
        <v>1</v>
      </c>
      <c r="H12" s="5">
        <f>_xlfn.XLOOKUP(A12,batch_final_timeline_by_case!A:A,batch_final_timeline_by_case!H:H,"")</f>
        <v>0</v>
      </c>
      <c r="I12" s="5">
        <f>_xlfn.XLOOKUP(A12,batch_final_timeline_by_case!A:A,batch_final_timeline_by_case!I:I,"")</f>
        <v>0</v>
      </c>
      <c r="J12" s="8">
        <f t="shared" si="2"/>
        <v>1.0096575943810358E-2</v>
      </c>
      <c r="K12">
        <f t="shared" si="3"/>
        <v>0</v>
      </c>
      <c r="L12">
        <f t="shared" si="4"/>
        <v>0</v>
      </c>
      <c r="M12">
        <f>_xlfn.XLOOKUP(A12,idle_time_ratio_summary!A:A,idle_time_ratio_summary!G:G,"")</f>
        <v>0</v>
      </c>
      <c r="N12">
        <f>_xlfn.XLOOKUP(A12,idle_time_ratio_summary!A:A,idle_time_ratio_summary!M:M,"")</f>
        <v>1</v>
      </c>
      <c r="O12">
        <f>_xlfn.XLOOKUP(A12,idle_time_ratio_summary!A:A,idle_time_ratio_summary!N:N,"")</f>
        <v>0</v>
      </c>
      <c r="P12" s="5" t="str">
        <f t="shared" si="0"/>
        <v>1-2</v>
      </c>
      <c r="Q12" s="5">
        <f t="shared" si="5"/>
        <v>1</v>
      </c>
      <c r="R12" s="5" t="str">
        <f t="shared" si="1"/>
        <v>3-</v>
      </c>
      <c r="S12" s="5">
        <f t="shared" si="6"/>
        <v>1</v>
      </c>
      <c r="T12" s="8">
        <f t="shared" si="8"/>
        <v>1.0096575943810358E-2</v>
      </c>
      <c r="U12" s="8">
        <f t="shared" si="7"/>
        <v>0</v>
      </c>
    </row>
    <row r="13" spans="1:21" x14ac:dyDescent="0.25">
      <c r="A13" s="5" t="s">
        <v>64</v>
      </c>
      <c r="B13" s="19">
        <v>2</v>
      </c>
      <c r="C13" s="19">
        <v>1</v>
      </c>
      <c r="D13" s="7">
        <f>_xlfn.XLOOKUP(A13,batch_final_timeline_by_case!A:A,batch_final_timeline_by_case!D:D,"")</f>
        <v>67.81</v>
      </c>
      <c r="E13" s="5">
        <f>_xlfn.XLOOKUP(A13,batch_final_timeline_by_case!A:A,batch_final_timeline_by_case!E:E,"")</f>
        <v>68.72</v>
      </c>
      <c r="F13" s="7">
        <f>_xlfn.XLOOKUP(A13,batch_final_timeline_by_case!A:A,batch_final_timeline_by_case!F:F,"")</f>
        <v>-0.91</v>
      </c>
      <c r="G13" s="5">
        <f>_xlfn.XLOOKUP(A13,batch_final_timeline_by_case!A:A,batch_final_timeline_by_case!G:G,"")</f>
        <v>0</v>
      </c>
      <c r="H13" s="5">
        <f>_xlfn.XLOOKUP(A13,batch_final_timeline_by_case!A:A,batch_final_timeline_by_case!H:H,"")</f>
        <v>1</v>
      </c>
      <c r="I13" s="5">
        <f>_xlfn.XLOOKUP(A13,batch_final_timeline_by_case!A:A,batch_final_timeline_by_case!I:I,"")</f>
        <v>0</v>
      </c>
      <c r="J13" s="8">
        <f t="shared" si="2"/>
        <v>1.3419849579708008E-2</v>
      </c>
      <c r="K13">
        <f t="shared" si="3"/>
        <v>0</v>
      </c>
      <c r="L13">
        <f t="shared" si="4"/>
        <v>0</v>
      </c>
      <c r="M13">
        <f>_xlfn.XLOOKUP(A13,idle_time_ratio_summary!A:A,idle_time_ratio_summary!G:G,"")</f>
        <v>0</v>
      </c>
      <c r="N13">
        <f>_xlfn.XLOOKUP(A13,idle_time_ratio_summary!A:A,idle_time_ratio_summary!M:M,"")</f>
        <v>0</v>
      </c>
      <c r="O13">
        <f>_xlfn.XLOOKUP(A13,idle_time_ratio_summary!A:A,idle_time_ratio_summary!N:N,"")</f>
        <v>0</v>
      </c>
      <c r="P13" s="5" t="str">
        <f t="shared" si="0"/>
        <v>1-2</v>
      </c>
      <c r="Q13" s="5">
        <f t="shared" si="5"/>
        <v>2</v>
      </c>
      <c r="R13" s="5" t="str">
        <f t="shared" si="1"/>
        <v>3-</v>
      </c>
      <c r="S13" s="5">
        <f t="shared" si="6"/>
        <v>1</v>
      </c>
      <c r="T13" s="8">
        <f t="shared" si="8"/>
        <v>0</v>
      </c>
      <c r="U13" s="8">
        <f t="shared" si="7"/>
        <v>1.3242142025611177E-2</v>
      </c>
    </row>
    <row r="14" spans="1:21" x14ac:dyDescent="0.25">
      <c r="A14" s="5" t="s">
        <v>86</v>
      </c>
      <c r="B14" s="19">
        <v>1</v>
      </c>
      <c r="C14" s="19">
        <v>1</v>
      </c>
      <c r="D14" s="7">
        <f>_xlfn.XLOOKUP(A14,batch_final_timeline_by_case!A:A,batch_final_timeline_by_case!D:D,"")</f>
        <v>67.849999999999994</v>
      </c>
      <c r="E14" s="5">
        <f>_xlfn.XLOOKUP(A14,batch_final_timeline_by_case!A:A,batch_final_timeline_by_case!E:E,"")</f>
        <v>66.56</v>
      </c>
      <c r="F14" s="7">
        <f>_xlfn.XLOOKUP(A14,batch_final_timeline_by_case!A:A,batch_final_timeline_by_case!F:F,"")</f>
        <v>1.29</v>
      </c>
      <c r="G14" s="5">
        <f>_xlfn.XLOOKUP(A14,batch_final_timeline_by_case!A:A,batch_final_timeline_by_case!G:G,"")</f>
        <v>1</v>
      </c>
      <c r="H14" s="5">
        <f>_xlfn.XLOOKUP(A14,batch_final_timeline_by_case!A:A,batch_final_timeline_by_case!H:H,"")</f>
        <v>0</v>
      </c>
      <c r="I14" s="5">
        <f>_xlfn.XLOOKUP(A14,batch_final_timeline_by_case!A:A,batch_final_timeline_by_case!I:I,"")</f>
        <v>0</v>
      </c>
      <c r="J14" s="8">
        <f t="shared" si="2"/>
        <v>1.9012527634487842E-2</v>
      </c>
      <c r="K14">
        <f t="shared" si="3"/>
        <v>0</v>
      </c>
      <c r="L14">
        <f t="shared" si="4"/>
        <v>0</v>
      </c>
      <c r="M14">
        <f>_xlfn.XLOOKUP(A14,idle_time_ratio_summary!A:A,idle_time_ratio_summary!G:G,"")</f>
        <v>1</v>
      </c>
      <c r="N14">
        <f>_xlfn.XLOOKUP(A14,idle_time_ratio_summary!A:A,idle_time_ratio_summary!M:M,"")</f>
        <v>1</v>
      </c>
      <c r="O14">
        <f>_xlfn.XLOOKUP(A14,idle_time_ratio_summary!A:A,idle_time_ratio_summary!N:N,"")</f>
        <v>0</v>
      </c>
      <c r="P14" s="5" t="str">
        <f t="shared" si="0"/>
        <v>1-2</v>
      </c>
      <c r="Q14" s="5">
        <f t="shared" si="5"/>
        <v>1</v>
      </c>
      <c r="R14" s="5" t="str">
        <f t="shared" si="1"/>
        <v>3-</v>
      </c>
      <c r="S14" s="5">
        <f t="shared" si="6"/>
        <v>1</v>
      </c>
      <c r="T14" s="8">
        <f t="shared" si="8"/>
        <v>1.9012527634487842E-2</v>
      </c>
      <c r="U14" s="8">
        <f t="shared" si="7"/>
        <v>0</v>
      </c>
    </row>
    <row r="15" spans="1:21" x14ac:dyDescent="0.25">
      <c r="A15" s="5" t="s">
        <v>68</v>
      </c>
      <c r="B15" s="19">
        <v>5</v>
      </c>
      <c r="C15" s="19">
        <v>2</v>
      </c>
      <c r="D15" s="7">
        <f>_xlfn.XLOOKUP(A15,batch_final_timeline_by_case!A:A,batch_final_timeline_by_case!D:D,"")</f>
        <v>86.944000000000003</v>
      </c>
      <c r="E15" s="5">
        <f>_xlfn.XLOOKUP(A15,batch_final_timeline_by_case!A:A,batch_final_timeline_by_case!E:E,"")</f>
        <v>81.430000000000007</v>
      </c>
      <c r="F15" s="7">
        <f>_xlfn.XLOOKUP(A15,batch_final_timeline_by_case!A:A,batch_final_timeline_by_case!F:F,"")</f>
        <v>5.5140000000000002</v>
      </c>
      <c r="G15" s="5">
        <f>_xlfn.XLOOKUP(A15,batch_final_timeline_by_case!A:A,batch_final_timeline_by_case!G:G,"")</f>
        <v>1</v>
      </c>
      <c r="H15" s="5">
        <f>_xlfn.XLOOKUP(A15,batch_final_timeline_by_case!A:A,batch_final_timeline_by_case!H:H,"")</f>
        <v>0</v>
      </c>
      <c r="I15" s="5">
        <f>_xlfn.XLOOKUP(A15,batch_final_timeline_by_case!A:A,batch_final_timeline_by_case!I:I,"")</f>
        <v>0</v>
      </c>
      <c r="J15" s="8">
        <f t="shared" si="2"/>
        <v>6.3420132499079865E-2</v>
      </c>
      <c r="K15">
        <f t="shared" si="3"/>
        <v>1</v>
      </c>
      <c r="L15">
        <f t="shared" si="4"/>
        <v>1</v>
      </c>
      <c r="M15">
        <f>_xlfn.XLOOKUP(A15,idle_time_ratio_summary!A:A,idle_time_ratio_summary!G:G,"")</f>
        <v>1</v>
      </c>
      <c r="N15">
        <f>_xlfn.XLOOKUP(A15,idle_time_ratio_summary!A:A,idle_time_ratio_summary!M:M,"")</f>
        <v>1</v>
      </c>
      <c r="O15">
        <f>_xlfn.XLOOKUP(A15,idle_time_ratio_summary!A:A,idle_time_ratio_summary!N:N,"")</f>
        <v>1</v>
      </c>
      <c r="P15" s="5" t="str">
        <f t="shared" si="0"/>
        <v>5-7</v>
      </c>
      <c r="Q15" s="5">
        <f t="shared" si="5"/>
        <v>5</v>
      </c>
      <c r="R15" s="5" t="str">
        <f t="shared" si="1"/>
        <v>3-</v>
      </c>
      <c r="S15" s="5">
        <f t="shared" si="6"/>
        <v>2</v>
      </c>
      <c r="T15" s="8">
        <f t="shared" si="8"/>
        <v>6.3420132499079865E-2</v>
      </c>
      <c r="U15" s="8">
        <f t="shared" si="7"/>
        <v>0</v>
      </c>
    </row>
    <row r="16" spans="1:21" x14ac:dyDescent="0.25">
      <c r="A16" s="5" t="s">
        <v>78</v>
      </c>
      <c r="B16" s="19">
        <v>5</v>
      </c>
      <c r="C16" s="19">
        <v>2</v>
      </c>
      <c r="D16" s="7">
        <f>_xlfn.XLOOKUP(A16,batch_final_timeline_by_case!A:A,batch_final_timeline_by_case!D:D,"")</f>
        <v>81.637799999999999</v>
      </c>
      <c r="E16" s="5">
        <f>_xlfn.XLOOKUP(A16,batch_final_timeline_by_case!A:A,batch_final_timeline_by_case!E:E,"")</f>
        <v>80.650000000000006</v>
      </c>
      <c r="F16" s="7">
        <f>_xlfn.XLOOKUP(A16,batch_final_timeline_by_case!A:A,batch_final_timeline_by_case!F:F,"")</f>
        <v>0.98780000000000001</v>
      </c>
      <c r="G16" s="5">
        <f>_xlfn.XLOOKUP(A16,batch_final_timeline_by_case!A:A,batch_final_timeline_by_case!G:G,"")</f>
        <v>1</v>
      </c>
      <c r="H16" s="5">
        <f>_xlfn.XLOOKUP(A16,batch_final_timeline_by_case!A:A,batch_final_timeline_by_case!H:H,"")</f>
        <v>0</v>
      </c>
      <c r="I16" s="5">
        <f>_xlfn.XLOOKUP(A16,batch_final_timeline_by_case!A:A,batch_final_timeline_by_case!I:I,"")</f>
        <v>0</v>
      </c>
      <c r="J16" s="8">
        <f t="shared" si="2"/>
        <v>1.2099787108422815E-2</v>
      </c>
      <c r="K16">
        <f t="shared" si="3"/>
        <v>0</v>
      </c>
      <c r="L16">
        <f t="shared" si="4"/>
        <v>0</v>
      </c>
      <c r="M16">
        <f>_xlfn.XLOOKUP(A16,idle_time_ratio_summary!A:A,idle_time_ratio_summary!G:G,"")</f>
        <v>0</v>
      </c>
      <c r="N16">
        <f>_xlfn.XLOOKUP(A16,idle_time_ratio_summary!A:A,idle_time_ratio_summary!M:M,"")</f>
        <v>1</v>
      </c>
      <c r="O16">
        <f>_xlfn.XLOOKUP(A16,idle_time_ratio_summary!A:A,idle_time_ratio_summary!N:N,"")</f>
        <v>1</v>
      </c>
      <c r="P16" s="5" t="str">
        <f t="shared" si="0"/>
        <v>5-7</v>
      </c>
      <c r="Q16" s="5">
        <f t="shared" si="5"/>
        <v>5</v>
      </c>
      <c r="R16" s="5" t="str">
        <f t="shared" si="1"/>
        <v>3-</v>
      </c>
      <c r="S16" s="5">
        <f t="shared" si="6"/>
        <v>2</v>
      </c>
      <c r="T16" s="8">
        <f t="shared" si="8"/>
        <v>1.2099787108422815E-2</v>
      </c>
      <c r="U16" s="8">
        <f t="shared" si="7"/>
        <v>0</v>
      </c>
    </row>
    <row r="17" spans="1:21" x14ac:dyDescent="0.25">
      <c r="A17" s="5" t="s">
        <v>59</v>
      </c>
      <c r="B17" s="19">
        <v>7</v>
      </c>
      <c r="C17" s="19">
        <v>2</v>
      </c>
      <c r="D17" s="7">
        <f>_xlfn.XLOOKUP(A17,batch_final_timeline_by_case!A:A,batch_final_timeline_by_case!D:D,"")</f>
        <v>81.837800000000001</v>
      </c>
      <c r="E17" s="5">
        <f>_xlfn.XLOOKUP(A17,batch_final_timeline_by_case!A:A,batch_final_timeline_by_case!E:E,"")</f>
        <v>79.75</v>
      </c>
      <c r="F17" s="7">
        <f>_xlfn.XLOOKUP(A17,batch_final_timeline_by_case!A:A,batch_final_timeline_by_case!F:F,"")</f>
        <v>2.0878000000000001</v>
      </c>
      <c r="G17" s="5">
        <f>_xlfn.XLOOKUP(A17,batch_final_timeline_by_case!A:A,batch_final_timeline_by_case!G:G,"")</f>
        <v>1</v>
      </c>
      <c r="H17" s="5">
        <f>_xlfn.XLOOKUP(A17,batch_final_timeline_by_case!A:A,batch_final_timeline_by_case!H:H,"")</f>
        <v>0</v>
      </c>
      <c r="I17" s="5">
        <f>_xlfn.XLOOKUP(A17,batch_final_timeline_by_case!A:A,batch_final_timeline_by_case!I:I,"")</f>
        <v>0</v>
      </c>
      <c r="J17" s="8">
        <f t="shared" si="2"/>
        <v>2.5511438479529022E-2</v>
      </c>
      <c r="K17">
        <f t="shared" si="3"/>
        <v>0</v>
      </c>
      <c r="L17">
        <f t="shared" si="4"/>
        <v>0</v>
      </c>
      <c r="M17">
        <f>_xlfn.XLOOKUP(A17,idle_time_ratio_summary!A:A,idle_time_ratio_summary!G:G,"")</f>
        <v>0</v>
      </c>
      <c r="N17">
        <f>_xlfn.XLOOKUP(A17,idle_time_ratio_summary!A:A,idle_time_ratio_summary!M:M,"")</f>
        <v>1</v>
      </c>
      <c r="O17">
        <f>_xlfn.XLOOKUP(A17,idle_time_ratio_summary!A:A,idle_time_ratio_summary!N:N,"")</f>
        <v>1</v>
      </c>
      <c r="P17" s="5" t="str">
        <f t="shared" si="0"/>
        <v>5-7</v>
      </c>
      <c r="Q17" s="5">
        <f t="shared" si="5"/>
        <v>7</v>
      </c>
      <c r="R17" s="5" t="str">
        <f t="shared" si="1"/>
        <v>3-</v>
      </c>
      <c r="S17" s="5">
        <f t="shared" si="6"/>
        <v>2</v>
      </c>
      <c r="T17" s="8">
        <f t="shared" si="8"/>
        <v>2.5511438479529022E-2</v>
      </c>
      <c r="U17" s="8">
        <f t="shared" si="7"/>
        <v>0</v>
      </c>
    </row>
    <row r="18" spans="1:21" x14ac:dyDescent="0.25">
      <c r="A18" s="5" t="s">
        <v>30</v>
      </c>
      <c r="B18" s="19">
        <v>4</v>
      </c>
      <c r="C18" s="19">
        <v>2</v>
      </c>
      <c r="D18" s="7">
        <f>_xlfn.XLOOKUP(A18,batch_final_timeline_by_case!A:A,batch_final_timeline_by_case!D:D,"")</f>
        <v>75.593800000000002</v>
      </c>
      <c r="E18" s="5">
        <f>_xlfn.XLOOKUP(A18,batch_final_timeline_by_case!A:A,batch_final_timeline_by_case!E:E,"")</f>
        <v>75.59</v>
      </c>
      <c r="F18" s="8">
        <f>_xlfn.XLOOKUP(A18,batch_final_timeline_by_case!A:A,batch_final_timeline_by_case!F:F,"")</f>
        <v>3.8E-3</v>
      </c>
      <c r="G18" s="5">
        <f>_xlfn.XLOOKUP(A18,batch_final_timeline_by_case!A:A,batch_final_timeline_by_case!G:G,"")</f>
        <v>1</v>
      </c>
      <c r="H18" s="5">
        <f>_xlfn.XLOOKUP(A18,batch_final_timeline_by_case!A:A,batch_final_timeline_by_case!H:H,"")</f>
        <v>0</v>
      </c>
      <c r="I18" s="5">
        <f>_xlfn.XLOOKUP(A18,batch_final_timeline_by_case!A:A,batch_final_timeline_by_case!I:I,"")</f>
        <v>0</v>
      </c>
      <c r="J18" s="8">
        <f t="shared" si="2"/>
        <v>5.0268672827665761E-5</v>
      </c>
      <c r="K18">
        <f t="shared" si="3"/>
        <v>0</v>
      </c>
      <c r="L18">
        <f t="shared" si="4"/>
        <v>0</v>
      </c>
      <c r="M18">
        <f>_xlfn.XLOOKUP(A18,idle_time_ratio_summary!A:A,idle_time_ratio_summary!G:G,"")</f>
        <v>0</v>
      </c>
      <c r="N18">
        <f>_xlfn.XLOOKUP(A18,idle_time_ratio_summary!A:A,idle_time_ratio_summary!M:M,"")</f>
        <v>1</v>
      </c>
      <c r="O18">
        <f>_xlfn.XLOOKUP(A18,idle_time_ratio_summary!A:A,idle_time_ratio_summary!N:N,"")</f>
        <v>1</v>
      </c>
      <c r="P18" s="5" t="str">
        <f t="shared" si="0"/>
        <v>3-4</v>
      </c>
      <c r="Q18" s="5">
        <f t="shared" si="5"/>
        <v>4</v>
      </c>
      <c r="R18" s="5" t="str">
        <f t="shared" si="1"/>
        <v>3-</v>
      </c>
      <c r="S18" s="5">
        <f t="shared" si="6"/>
        <v>2</v>
      </c>
      <c r="T18" s="8">
        <f t="shared" si="8"/>
        <v>5.0268672827665761E-5</v>
      </c>
      <c r="U18" s="8">
        <f t="shared" si="7"/>
        <v>0</v>
      </c>
    </row>
    <row r="19" spans="1:21" x14ac:dyDescent="0.25">
      <c r="A19" s="5" t="s">
        <v>91</v>
      </c>
      <c r="B19" s="19">
        <v>8</v>
      </c>
      <c r="C19" s="19">
        <v>2</v>
      </c>
      <c r="D19" s="7">
        <f>_xlfn.XLOOKUP(A19,batch_final_timeline_by_case!A:A,batch_final_timeline_by_case!D:D,"")</f>
        <v>93.47</v>
      </c>
      <c r="E19" s="5">
        <f>_xlfn.XLOOKUP(A19,batch_final_timeline_by_case!A:A,batch_final_timeline_by_case!E:E,"")</f>
        <v>96.74</v>
      </c>
      <c r="F19" s="7">
        <f>_xlfn.XLOOKUP(A19,batch_final_timeline_by_case!A:A,batch_final_timeline_by_case!F:F,"")</f>
        <v>-3.27</v>
      </c>
      <c r="G19" s="5">
        <f>_xlfn.XLOOKUP(A19,batch_final_timeline_by_case!A:A,batch_final_timeline_by_case!G:G,"")</f>
        <v>0</v>
      </c>
      <c r="H19" s="5">
        <f>_xlfn.XLOOKUP(A19,batch_final_timeline_by_case!A:A,batch_final_timeline_by_case!H:H,"")</f>
        <v>1</v>
      </c>
      <c r="I19" s="5">
        <f>_xlfn.XLOOKUP(A19,batch_final_timeline_by_case!A:A,batch_final_timeline_by_case!I:I,"")</f>
        <v>0</v>
      </c>
      <c r="J19" s="8">
        <f t="shared" si="2"/>
        <v>3.4984487001176852E-2</v>
      </c>
      <c r="K19">
        <f t="shared" si="3"/>
        <v>0</v>
      </c>
      <c r="L19">
        <f t="shared" si="4"/>
        <v>0</v>
      </c>
      <c r="M19">
        <f>_xlfn.XLOOKUP(A19,idle_time_ratio_summary!A:A,idle_time_ratio_summary!G:G,"")</f>
        <v>0</v>
      </c>
      <c r="N19">
        <f>_xlfn.XLOOKUP(A19,idle_time_ratio_summary!A:A,idle_time_ratio_summary!M:M,"")</f>
        <v>1</v>
      </c>
      <c r="O19">
        <f>_xlfn.XLOOKUP(A19,idle_time_ratio_summary!A:A,idle_time_ratio_summary!N:N,"")</f>
        <v>1</v>
      </c>
      <c r="P19" s="5" t="str">
        <f t="shared" si="0"/>
        <v>8-11</v>
      </c>
      <c r="Q19" s="5">
        <f t="shared" si="5"/>
        <v>8</v>
      </c>
      <c r="R19" s="5" t="str">
        <f t="shared" si="1"/>
        <v>3-</v>
      </c>
      <c r="S19" s="5">
        <f t="shared" si="6"/>
        <v>2</v>
      </c>
      <c r="T19" s="8">
        <f t="shared" si="8"/>
        <v>0</v>
      </c>
      <c r="U19" s="8">
        <f t="shared" si="7"/>
        <v>3.3801943353318174E-2</v>
      </c>
    </row>
    <row r="20" spans="1:21" x14ac:dyDescent="0.25">
      <c r="A20" s="5" t="s">
        <v>51</v>
      </c>
      <c r="B20" s="19">
        <v>3</v>
      </c>
      <c r="C20" s="19">
        <v>2</v>
      </c>
      <c r="D20" s="7">
        <f>_xlfn.XLOOKUP(A20,batch_final_timeline_by_case!A:A,batch_final_timeline_by_case!D:D,"")</f>
        <v>68.09</v>
      </c>
      <c r="E20" s="5">
        <f>_xlfn.XLOOKUP(A20,batch_final_timeline_by_case!A:A,batch_final_timeline_by_case!E:E,"")</f>
        <v>65.14</v>
      </c>
      <c r="F20" s="7">
        <f>_xlfn.XLOOKUP(A20,batch_final_timeline_by_case!A:A,batch_final_timeline_by_case!F:F,"")</f>
        <v>2.95</v>
      </c>
      <c r="G20" s="5">
        <f>_xlfn.XLOOKUP(A20,batch_final_timeline_by_case!A:A,batch_final_timeline_by_case!G:G,"")</f>
        <v>1</v>
      </c>
      <c r="H20" s="5">
        <f>_xlfn.XLOOKUP(A20,batch_final_timeline_by_case!A:A,batch_final_timeline_by_case!H:H,"")</f>
        <v>0</v>
      </c>
      <c r="I20" s="5">
        <f>_xlfn.XLOOKUP(A20,batch_final_timeline_by_case!A:A,batch_final_timeline_by_case!I:I,"")</f>
        <v>0</v>
      </c>
      <c r="J20" s="8">
        <f t="shared" si="2"/>
        <v>4.3325011014833312E-2</v>
      </c>
      <c r="K20">
        <f t="shared" si="3"/>
        <v>0</v>
      </c>
      <c r="L20">
        <f t="shared" si="4"/>
        <v>0</v>
      </c>
      <c r="M20">
        <f>_xlfn.XLOOKUP(A20,idle_time_ratio_summary!A:A,idle_time_ratio_summary!G:G,"")</f>
        <v>0</v>
      </c>
      <c r="N20">
        <f>_xlfn.XLOOKUP(A20,idle_time_ratio_summary!A:A,idle_time_ratio_summary!M:M,"")</f>
        <v>1</v>
      </c>
      <c r="O20">
        <f>_xlfn.XLOOKUP(A20,idle_time_ratio_summary!A:A,idle_time_ratio_summary!N:N,"")</f>
        <v>0</v>
      </c>
      <c r="P20" s="5" t="str">
        <f t="shared" si="0"/>
        <v>3-4</v>
      </c>
      <c r="Q20" s="5">
        <f t="shared" si="5"/>
        <v>3</v>
      </c>
      <c r="R20" s="5" t="str">
        <f t="shared" si="1"/>
        <v>3-</v>
      </c>
      <c r="S20" s="5">
        <f t="shared" si="6"/>
        <v>2</v>
      </c>
      <c r="T20" s="8">
        <f t="shared" si="8"/>
        <v>4.3325011014833312E-2</v>
      </c>
      <c r="U20" s="8">
        <f t="shared" si="7"/>
        <v>0</v>
      </c>
    </row>
    <row r="21" spans="1:21" x14ac:dyDescent="0.25">
      <c r="A21" s="5" t="s">
        <v>96</v>
      </c>
      <c r="B21" s="19">
        <v>6</v>
      </c>
      <c r="C21" s="19">
        <v>2</v>
      </c>
      <c r="D21" s="7">
        <f>_xlfn.XLOOKUP(A21,batch_final_timeline_by_case!A:A,batch_final_timeline_by_case!D:D,"")</f>
        <v>82.399199999999993</v>
      </c>
      <c r="E21" s="5">
        <f>_xlfn.XLOOKUP(A21,batch_final_timeline_by_case!A:A,batch_final_timeline_by_case!E:E,"")</f>
        <v>82.38</v>
      </c>
      <c r="F21" s="7">
        <f>_xlfn.XLOOKUP(A21,batch_final_timeline_by_case!A:A,batch_final_timeline_by_case!F:F,"")</f>
        <v>1.9199999999999998E-2</v>
      </c>
      <c r="G21" s="5">
        <f>_xlfn.XLOOKUP(A21,batch_final_timeline_by_case!A:A,batch_final_timeline_by_case!G:G,"")</f>
        <v>1</v>
      </c>
      <c r="H21" s="5">
        <f>_xlfn.XLOOKUP(A21,batch_final_timeline_by_case!A:A,batch_final_timeline_by_case!H:H,"")</f>
        <v>0</v>
      </c>
      <c r="I21" s="5">
        <f>_xlfn.XLOOKUP(A21,batch_final_timeline_by_case!A:A,batch_final_timeline_by_case!I:I,"")</f>
        <v>0</v>
      </c>
      <c r="J21" s="8">
        <f t="shared" si="2"/>
        <v>2.330119709900096E-4</v>
      </c>
      <c r="K21">
        <f t="shared" si="3"/>
        <v>0</v>
      </c>
      <c r="L21">
        <f t="shared" si="4"/>
        <v>0</v>
      </c>
      <c r="M21">
        <f>_xlfn.XLOOKUP(A21,idle_time_ratio_summary!A:A,idle_time_ratio_summary!G:G,"")</f>
        <v>0</v>
      </c>
      <c r="N21">
        <f>_xlfn.XLOOKUP(A21,idle_time_ratio_summary!A:A,idle_time_ratio_summary!M:M,"")</f>
        <v>1</v>
      </c>
      <c r="O21">
        <f>_xlfn.XLOOKUP(A21,idle_time_ratio_summary!A:A,idle_time_ratio_summary!N:N,"")</f>
        <v>1</v>
      </c>
      <c r="P21" s="5" t="str">
        <f t="shared" si="0"/>
        <v>5-7</v>
      </c>
      <c r="Q21" s="5">
        <f t="shared" si="5"/>
        <v>6</v>
      </c>
      <c r="R21" s="5" t="str">
        <f t="shared" si="1"/>
        <v>3-</v>
      </c>
      <c r="S21" s="5">
        <f t="shared" si="6"/>
        <v>2</v>
      </c>
      <c r="T21" s="8">
        <f t="shared" si="8"/>
        <v>2.330119709900096E-4</v>
      </c>
      <c r="U21" s="8">
        <f t="shared" si="7"/>
        <v>0</v>
      </c>
    </row>
    <row r="22" spans="1:21" x14ac:dyDescent="0.25">
      <c r="A22" s="5" t="s">
        <v>53</v>
      </c>
      <c r="B22" s="19">
        <v>7</v>
      </c>
      <c r="C22" s="19">
        <v>2</v>
      </c>
      <c r="D22" s="7">
        <f>_xlfn.XLOOKUP(A22,batch_final_timeline_by_case!A:A,batch_final_timeline_by_case!D:D,"")</f>
        <v>91.724000000000004</v>
      </c>
      <c r="E22" s="5">
        <f>_xlfn.XLOOKUP(A22,batch_final_timeline_by_case!A:A,batch_final_timeline_by_case!E:E,"")</f>
        <v>88.36</v>
      </c>
      <c r="F22" s="7">
        <f>_xlfn.XLOOKUP(A22,batch_final_timeline_by_case!A:A,batch_final_timeline_by_case!F:F,"")</f>
        <v>3.3639999999999999</v>
      </c>
      <c r="G22" s="5">
        <f>_xlfn.XLOOKUP(A22,batch_final_timeline_by_case!A:A,batch_final_timeline_by_case!G:G,"")</f>
        <v>1</v>
      </c>
      <c r="H22" s="5">
        <f>_xlfn.XLOOKUP(A22,batch_final_timeline_by_case!A:A,batch_final_timeline_by_case!H:H,"")</f>
        <v>0</v>
      </c>
      <c r="I22" s="5">
        <f>_xlfn.XLOOKUP(A22,batch_final_timeline_by_case!A:A,batch_final_timeline_by_case!I:I,"")</f>
        <v>0</v>
      </c>
      <c r="J22" s="8">
        <f t="shared" si="2"/>
        <v>3.6675243120666341E-2</v>
      </c>
      <c r="K22">
        <f t="shared" si="3"/>
        <v>0</v>
      </c>
      <c r="L22">
        <f t="shared" si="4"/>
        <v>0</v>
      </c>
      <c r="M22">
        <f>_xlfn.XLOOKUP(A22,idle_time_ratio_summary!A:A,idle_time_ratio_summary!G:G,"")</f>
        <v>0</v>
      </c>
      <c r="N22">
        <f>_xlfn.XLOOKUP(A22,idle_time_ratio_summary!A:A,idle_time_ratio_summary!M:M,"")</f>
        <v>1</v>
      </c>
      <c r="O22">
        <f>_xlfn.XLOOKUP(A22,idle_time_ratio_summary!A:A,idle_time_ratio_summary!N:N,"")</f>
        <v>1</v>
      </c>
      <c r="P22" s="5" t="str">
        <f t="shared" si="0"/>
        <v>5-7</v>
      </c>
      <c r="Q22" s="5">
        <f t="shared" si="5"/>
        <v>7</v>
      </c>
      <c r="R22" s="5" t="str">
        <f t="shared" si="1"/>
        <v>3-</v>
      </c>
      <c r="S22" s="5">
        <f t="shared" si="6"/>
        <v>2</v>
      </c>
      <c r="T22" s="8">
        <f t="shared" si="8"/>
        <v>3.6675243120666341E-2</v>
      </c>
      <c r="U22" s="8">
        <f t="shared" si="7"/>
        <v>0</v>
      </c>
    </row>
    <row r="23" spans="1:21" x14ac:dyDescent="0.25">
      <c r="A23" s="5" t="s">
        <v>37</v>
      </c>
      <c r="B23" s="19">
        <v>5</v>
      </c>
      <c r="C23" s="19">
        <v>2</v>
      </c>
      <c r="D23" s="7">
        <f>_xlfn.XLOOKUP(A23,batch_final_timeline_by_case!A:A,batch_final_timeline_by_case!D:D,"")</f>
        <v>71.284000000000006</v>
      </c>
      <c r="E23" s="5">
        <f>_xlfn.XLOOKUP(A23,batch_final_timeline_by_case!A:A,batch_final_timeline_by_case!E:E,"")</f>
        <v>69.680000000000007</v>
      </c>
      <c r="F23" s="7">
        <f>_xlfn.XLOOKUP(A23,batch_final_timeline_by_case!A:A,batch_final_timeline_by_case!F:F,"")</f>
        <v>1.6040000000000001</v>
      </c>
      <c r="G23" s="5">
        <f>_xlfn.XLOOKUP(A23,batch_final_timeline_by_case!A:A,batch_final_timeline_by_case!G:G,"")</f>
        <v>1</v>
      </c>
      <c r="H23" s="5">
        <f>_xlfn.XLOOKUP(A23,batch_final_timeline_by_case!A:A,batch_final_timeline_by_case!H:H,"")</f>
        <v>0</v>
      </c>
      <c r="I23" s="5">
        <f>_xlfn.XLOOKUP(A23,batch_final_timeline_by_case!A:A,batch_final_timeline_by_case!I:I,"")</f>
        <v>0</v>
      </c>
      <c r="J23" s="8">
        <f t="shared" si="2"/>
        <v>2.2501543123281523E-2</v>
      </c>
      <c r="K23">
        <f t="shared" si="3"/>
        <v>0</v>
      </c>
      <c r="L23">
        <f t="shared" si="4"/>
        <v>0</v>
      </c>
      <c r="M23">
        <f>_xlfn.XLOOKUP(A23,idle_time_ratio_summary!A:A,idle_time_ratio_summary!G:G,"")</f>
        <v>0</v>
      </c>
      <c r="N23">
        <f>_xlfn.XLOOKUP(A23,idle_time_ratio_summary!A:A,idle_time_ratio_summary!M:M,"")</f>
        <v>1</v>
      </c>
      <c r="O23">
        <f>_xlfn.XLOOKUP(A23,idle_time_ratio_summary!A:A,idle_time_ratio_summary!N:N,"")</f>
        <v>0</v>
      </c>
      <c r="P23" s="5" t="str">
        <f t="shared" si="0"/>
        <v>5-7</v>
      </c>
      <c r="Q23" s="5">
        <f t="shared" si="5"/>
        <v>5</v>
      </c>
      <c r="R23" s="5" t="str">
        <f t="shared" si="1"/>
        <v>3-</v>
      </c>
      <c r="S23" s="5">
        <f t="shared" si="6"/>
        <v>2</v>
      </c>
      <c r="T23" s="8">
        <f t="shared" si="8"/>
        <v>2.2501543123281523E-2</v>
      </c>
      <c r="U23" s="8">
        <f t="shared" si="7"/>
        <v>0</v>
      </c>
    </row>
    <row r="24" spans="1:21" x14ac:dyDescent="0.25">
      <c r="A24" s="5" t="s">
        <v>82</v>
      </c>
      <c r="B24" s="19">
        <v>4</v>
      </c>
      <c r="C24" s="19">
        <v>2</v>
      </c>
      <c r="D24" s="7">
        <f>_xlfn.XLOOKUP(A24,batch_final_timeline_by_case!A:A,batch_final_timeline_by_case!D:D,"")</f>
        <v>78.407799999999995</v>
      </c>
      <c r="E24" s="5">
        <f>_xlfn.XLOOKUP(A24,batch_final_timeline_by_case!A:A,batch_final_timeline_by_case!E:E,"")</f>
        <v>78.27</v>
      </c>
      <c r="F24" s="7">
        <f>_xlfn.XLOOKUP(A24,batch_final_timeline_by_case!A:A,batch_final_timeline_by_case!F:F,"")</f>
        <v>0.13780000000000001</v>
      </c>
      <c r="G24" s="5">
        <f>_xlfn.XLOOKUP(A24,batch_final_timeline_by_case!A:A,batch_final_timeline_by_case!G:G,"")</f>
        <v>1</v>
      </c>
      <c r="H24" s="5">
        <f>_xlfn.XLOOKUP(A24,batch_final_timeline_by_case!A:A,batch_final_timeline_by_case!H:H,"")</f>
        <v>0</v>
      </c>
      <c r="I24" s="5">
        <f>_xlfn.XLOOKUP(A24,batch_final_timeline_by_case!A:A,batch_final_timeline_by_case!I:I,"")</f>
        <v>0</v>
      </c>
      <c r="J24" s="8">
        <f t="shared" si="2"/>
        <v>1.7574782100760386E-3</v>
      </c>
      <c r="K24">
        <f t="shared" si="3"/>
        <v>0</v>
      </c>
      <c r="L24">
        <f t="shared" si="4"/>
        <v>0</v>
      </c>
      <c r="M24">
        <f>_xlfn.XLOOKUP(A24,idle_time_ratio_summary!A:A,idle_time_ratio_summary!G:G,"")</f>
        <v>0</v>
      </c>
      <c r="N24">
        <f>_xlfn.XLOOKUP(A24,idle_time_ratio_summary!A:A,idle_time_ratio_summary!M:M,"")</f>
        <v>1</v>
      </c>
      <c r="O24">
        <f>_xlfn.XLOOKUP(A24,idle_time_ratio_summary!A:A,idle_time_ratio_summary!N:N,"")</f>
        <v>1</v>
      </c>
      <c r="P24" s="5" t="str">
        <f t="shared" si="0"/>
        <v>3-4</v>
      </c>
      <c r="Q24" s="5">
        <f t="shared" si="5"/>
        <v>4</v>
      </c>
      <c r="R24" s="5" t="str">
        <f t="shared" si="1"/>
        <v>3-</v>
      </c>
      <c r="S24" s="5">
        <f t="shared" si="6"/>
        <v>2</v>
      </c>
      <c r="T24" s="8">
        <f t="shared" si="8"/>
        <v>1.7574782100760386E-3</v>
      </c>
      <c r="U24" s="8">
        <f t="shared" si="7"/>
        <v>0</v>
      </c>
    </row>
    <row r="25" spans="1:21" x14ac:dyDescent="0.25">
      <c r="A25" s="5" t="s">
        <v>67</v>
      </c>
      <c r="B25" s="19">
        <v>2</v>
      </c>
      <c r="C25" s="19">
        <v>2</v>
      </c>
      <c r="D25" s="7">
        <f>_xlfn.XLOOKUP(A25,batch_final_timeline_by_case!A:A,batch_final_timeline_by_case!D:D,"")</f>
        <v>68.3</v>
      </c>
      <c r="E25" s="5">
        <f>_xlfn.XLOOKUP(A25,batch_final_timeline_by_case!A:A,batch_final_timeline_by_case!E:E,"")</f>
        <v>69.099999999999994</v>
      </c>
      <c r="F25" s="7">
        <f>_xlfn.XLOOKUP(A25,batch_final_timeline_by_case!A:A,batch_final_timeline_by_case!F:F,"")</f>
        <v>-0.8</v>
      </c>
      <c r="G25" s="5">
        <f>_xlfn.XLOOKUP(A25,batch_final_timeline_by_case!A:A,batch_final_timeline_by_case!G:G,"")</f>
        <v>0</v>
      </c>
      <c r="H25" s="5">
        <f>_xlfn.XLOOKUP(A25,batch_final_timeline_by_case!A:A,batch_final_timeline_by_case!H:H,"")</f>
        <v>1</v>
      </c>
      <c r="I25" s="5">
        <f>_xlfn.XLOOKUP(A25,batch_final_timeline_by_case!A:A,batch_final_timeline_by_case!I:I,"")</f>
        <v>0</v>
      </c>
      <c r="J25" s="8">
        <f t="shared" si="2"/>
        <v>1.171303074670571E-2</v>
      </c>
      <c r="K25">
        <f t="shared" si="3"/>
        <v>0</v>
      </c>
      <c r="L25">
        <f t="shared" si="4"/>
        <v>0</v>
      </c>
      <c r="M25">
        <f>_xlfn.XLOOKUP(A25,idle_time_ratio_summary!A:A,idle_time_ratio_summary!G:G,"")</f>
        <v>0</v>
      </c>
      <c r="N25">
        <f>_xlfn.XLOOKUP(A25,idle_time_ratio_summary!A:A,idle_time_ratio_summary!M:M,"")</f>
        <v>0</v>
      </c>
      <c r="O25">
        <f>_xlfn.XLOOKUP(A25,idle_time_ratio_summary!A:A,idle_time_ratio_summary!N:N,"")</f>
        <v>0</v>
      </c>
      <c r="P25" s="5" t="str">
        <f t="shared" si="0"/>
        <v>1-2</v>
      </c>
      <c r="Q25" s="5">
        <f t="shared" si="5"/>
        <v>2</v>
      </c>
      <c r="R25" s="5" t="str">
        <f t="shared" si="1"/>
        <v>3-</v>
      </c>
      <c r="S25" s="5">
        <f t="shared" si="6"/>
        <v>2</v>
      </c>
      <c r="T25" s="8">
        <f t="shared" si="8"/>
        <v>0</v>
      </c>
      <c r="U25" s="8">
        <f t="shared" si="7"/>
        <v>1.1577424023154849E-2</v>
      </c>
    </row>
    <row r="26" spans="1:21" x14ac:dyDescent="0.25">
      <c r="A26" s="5" t="s">
        <v>83</v>
      </c>
      <c r="B26" s="19">
        <v>2</v>
      </c>
      <c r="C26" s="19">
        <v>2</v>
      </c>
      <c r="D26" s="7">
        <f>_xlfn.XLOOKUP(A26,batch_final_timeline_by_case!A:A,batch_final_timeline_by_case!D:D,"")</f>
        <v>71.260000000000005</v>
      </c>
      <c r="E26" s="5">
        <f>_xlfn.XLOOKUP(A26,batch_final_timeline_by_case!A:A,batch_final_timeline_by_case!E:E,"")</f>
        <v>70.47</v>
      </c>
      <c r="F26" s="7">
        <f>_xlfn.XLOOKUP(A26,batch_final_timeline_by_case!A:A,batch_final_timeline_by_case!F:F,"")</f>
        <v>0.79</v>
      </c>
      <c r="G26" s="5">
        <f>_xlfn.XLOOKUP(A26,batch_final_timeline_by_case!A:A,batch_final_timeline_by_case!G:G,"")</f>
        <v>1</v>
      </c>
      <c r="H26" s="5">
        <f>_xlfn.XLOOKUP(A26,batch_final_timeline_by_case!A:A,batch_final_timeline_by_case!H:H,"")</f>
        <v>0</v>
      </c>
      <c r="I26" s="5">
        <f>_xlfn.XLOOKUP(A26,batch_final_timeline_by_case!A:A,batch_final_timeline_by_case!I:I,"")</f>
        <v>0</v>
      </c>
      <c r="J26" s="8">
        <f t="shared" si="2"/>
        <v>1.1086163345495368E-2</v>
      </c>
      <c r="K26">
        <f t="shared" si="3"/>
        <v>0</v>
      </c>
      <c r="L26">
        <f t="shared" si="4"/>
        <v>0</v>
      </c>
      <c r="M26">
        <f>_xlfn.XLOOKUP(A26,idle_time_ratio_summary!A:A,idle_time_ratio_summary!G:G,"")</f>
        <v>0</v>
      </c>
      <c r="N26">
        <f>_xlfn.XLOOKUP(A26,idle_time_ratio_summary!A:A,idle_time_ratio_summary!M:M,"")</f>
        <v>0</v>
      </c>
      <c r="O26">
        <f>_xlfn.XLOOKUP(A26,idle_time_ratio_summary!A:A,idle_time_ratio_summary!N:N,"")</f>
        <v>0</v>
      </c>
      <c r="P26" s="5" t="str">
        <f t="shared" si="0"/>
        <v>1-2</v>
      </c>
      <c r="Q26" s="5">
        <f t="shared" si="5"/>
        <v>2</v>
      </c>
      <c r="R26" s="5" t="str">
        <f t="shared" si="1"/>
        <v>3-</v>
      </c>
      <c r="S26" s="5">
        <f t="shared" si="6"/>
        <v>2</v>
      </c>
      <c r="T26" s="8">
        <f t="shared" si="8"/>
        <v>1.1086163345495368E-2</v>
      </c>
      <c r="U26" s="8">
        <f t="shared" si="7"/>
        <v>0</v>
      </c>
    </row>
    <row r="27" spans="1:21" x14ac:dyDescent="0.25">
      <c r="A27" s="5" t="s">
        <v>45</v>
      </c>
      <c r="B27" s="19">
        <v>3</v>
      </c>
      <c r="C27" s="19">
        <v>2</v>
      </c>
      <c r="D27" s="7">
        <f>_xlfn.XLOOKUP(A27,batch_final_timeline_by_case!A:A,batch_final_timeline_by_case!D:D,"")</f>
        <v>67.989999999999995</v>
      </c>
      <c r="E27" s="5">
        <f>_xlfn.XLOOKUP(A27,batch_final_timeline_by_case!A:A,batch_final_timeline_by_case!E:E,"")</f>
        <v>70.45</v>
      </c>
      <c r="F27" s="7">
        <f>_xlfn.XLOOKUP(A27,batch_final_timeline_by_case!A:A,batch_final_timeline_by_case!F:F,"")</f>
        <v>-2.46</v>
      </c>
      <c r="G27" s="5">
        <f>_xlfn.XLOOKUP(A27,batch_final_timeline_by_case!A:A,batch_final_timeline_by_case!G:G,"")</f>
        <v>0</v>
      </c>
      <c r="H27" s="5">
        <f>_xlfn.XLOOKUP(A27,batch_final_timeline_by_case!A:A,batch_final_timeline_by_case!H:H,"")</f>
        <v>1</v>
      </c>
      <c r="I27" s="5">
        <f>_xlfn.XLOOKUP(A27,batch_final_timeline_by_case!A:A,batch_final_timeline_by_case!I:I,"")</f>
        <v>0</v>
      </c>
      <c r="J27" s="8">
        <f t="shared" si="2"/>
        <v>3.6181791439917635E-2</v>
      </c>
      <c r="K27">
        <f t="shared" si="3"/>
        <v>0</v>
      </c>
      <c r="L27">
        <f t="shared" si="4"/>
        <v>0</v>
      </c>
      <c r="M27">
        <f>_xlfn.XLOOKUP(A27,idle_time_ratio_summary!A:A,idle_time_ratio_summary!G:G,"")</f>
        <v>0</v>
      </c>
      <c r="N27">
        <f>_xlfn.XLOOKUP(A27,idle_time_ratio_summary!A:A,idle_time_ratio_summary!M:M,"")</f>
        <v>0</v>
      </c>
      <c r="O27">
        <f>_xlfn.XLOOKUP(A27,idle_time_ratio_summary!A:A,idle_time_ratio_summary!N:N,"")</f>
        <v>0</v>
      </c>
      <c r="P27" s="5" t="str">
        <f t="shared" si="0"/>
        <v>3-4</v>
      </c>
      <c r="Q27" s="5">
        <f t="shared" si="5"/>
        <v>3</v>
      </c>
      <c r="R27" s="5" t="str">
        <f t="shared" si="1"/>
        <v>3-</v>
      </c>
      <c r="S27" s="5">
        <f t="shared" si="6"/>
        <v>2</v>
      </c>
      <c r="T27" s="8">
        <f t="shared" si="8"/>
        <v>0</v>
      </c>
      <c r="U27" s="8">
        <f t="shared" si="7"/>
        <v>3.4918381831085872E-2</v>
      </c>
    </row>
    <row r="28" spans="1:21" x14ac:dyDescent="0.25">
      <c r="A28" s="5" t="s">
        <v>57</v>
      </c>
      <c r="B28" s="19">
        <v>5</v>
      </c>
      <c r="C28" s="19">
        <v>2</v>
      </c>
      <c r="D28" s="7">
        <f>_xlfn.XLOOKUP(A28,batch_final_timeline_by_case!A:A,batch_final_timeline_by_case!D:D,"")</f>
        <v>73.3</v>
      </c>
      <c r="E28" s="5">
        <f>_xlfn.XLOOKUP(A28,batch_final_timeline_by_case!A:A,batch_final_timeline_by_case!E:E,"")</f>
        <v>76</v>
      </c>
      <c r="F28" s="7">
        <f>_xlfn.XLOOKUP(A28,batch_final_timeline_by_case!A:A,batch_final_timeline_by_case!F:F,"")</f>
        <v>-2.7</v>
      </c>
      <c r="G28" s="5">
        <f>_xlfn.XLOOKUP(A28,batch_final_timeline_by_case!A:A,batch_final_timeline_by_case!G:G,"")</f>
        <v>0</v>
      </c>
      <c r="H28" s="5">
        <f>_xlfn.XLOOKUP(A28,batch_final_timeline_by_case!A:A,batch_final_timeline_by_case!H:H,"")</f>
        <v>1</v>
      </c>
      <c r="I28" s="5">
        <f>_xlfn.XLOOKUP(A28,batch_final_timeline_by_case!A:A,batch_final_timeline_by_case!I:I,"")</f>
        <v>0</v>
      </c>
      <c r="J28" s="8">
        <f t="shared" si="2"/>
        <v>3.6834924965893592E-2</v>
      </c>
      <c r="K28">
        <f t="shared" si="3"/>
        <v>0</v>
      </c>
      <c r="L28">
        <f t="shared" si="4"/>
        <v>0</v>
      </c>
      <c r="M28">
        <f>_xlfn.XLOOKUP(A28,idle_time_ratio_summary!A:A,idle_time_ratio_summary!G:G,"")</f>
        <v>0</v>
      </c>
      <c r="N28">
        <f>_xlfn.XLOOKUP(A28,idle_time_ratio_summary!A:A,idle_time_ratio_summary!M:M,"")</f>
        <v>0</v>
      </c>
      <c r="O28">
        <f>_xlfn.XLOOKUP(A28,idle_time_ratio_summary!A:A,idle_time_ratio_summary!N:N,"")</f>
        <v>0</v>
      </c>
      <c r="P28" s="5" t="str">
        <f t="shared" si="0"/>
        <v>5-7</v>
      </c>
      <c r="Q28" s="5">
        <f t="shared" si="5"/>
        <v>5</v>
      </c>
      <c r="R28" s="5" t="str">
        <f t="shared" si="1"/>
        <v>3-</v>
      </c>
      <c r="S28" s="5">
        <f t="shared" si="6"/>
        <v>2</v>
      </c>
      <c r="T28" s="8">
        <f t="shared" si="8"/>
        <v>0</v>
      </c>
      <c r="U28" s="8">
        <f t="shared" si="7"/>
        <v>3.5526315789473684E-2</v>
      </c>
    </row>
    <row r="29" spans="1:21" x14ac:dyDescent="0.25">
      <c r="A29" s="5" t="s">
        <v>36</v>
      </c>
      <c r="B29" s="19">
        <v>2</v>
      </c>
      <c r="C29" s="19">
        <v>2</v>
      </c>
      <c r="D29" s="7">
        <f>_xlfn.XLOOKUP(A29,batch_final_timeline_by_case!A:A,batch_final_timeline_by_case!D:D,"")</f>
        <v>67.89</v>
      </c>
      <c r="E29" s="5">
        <f>_xlfn.XLOOKUP(A29,batch_final_timeline_by_case!A:A,batch_final_timeline_by_case!E:E,"")</f>
        <v>66.650000000000006</v>
      </c>
      <c r="F29" s="7">
        <f>_xlfn.XLOOKUP(A29,batch_final_timeline_by_case!A:A,batch_final_timeline_by_case!F:F,"")</f>
        <v>1.24</v>
      </c>
      <c r="G29" s="5">
        <f>_xlfn.XLOOKUP(A29,batch_final_timeline_by_case!A:A,batch_final_timeline_by_case!G:G,"")</f>
        <v>1</v>
      </c>
      <c r="H29" s="5">
        <f>_xlfn.XLOOKUP(A29,batch_final_timeline_by_case!A:A,batch_final_timeline_by_case!H:H,"")</f>
        <v>0</v>
      </c>
      <c r="I29" s="5">
        <f>_xlfn.XLOOKUP(A29,batch_final_timeline_by_case!A:A,batch_final_timeline_by_case!I:I,"")</f>
        <v>0</v>
      </c>
      <c r="J29" s="8">
        <f t="shared" si="2"/>
        <v>1.8264840182648401E-2</v>
      </c>
      <c r="K29">
        <f t="shared" si="3"/>
        <v>0</v>
      </c>
      <c r="L29">
        <f t="shared" si="4"/>
        <v>0</v>
      </c>
      <c r="M29">
        <f>_xlfn.XLOOKUP(A29,idle_time_ratio_summary!A:A,idle_time_ratio_summary!G:G,"")</f>
        <v>1</v>
      </c>
      <c r="N29">
        <f>_xlfn.XLOOKUP(A29,idle_time_ratio_summary!A:A,idle_time_ratio_summary!M:M,"")</f>
        <v>1</v>
      </c>
      <c r="O29">
        <f>_xlfn.XLOOKUP(A29,idle_time_ratio_summary!A:A,idle_time_ratio_summary!N:N,"")</f>
        <v>0</v>
      </c>
      <c r="P29" s="5" t="str">
        <f t="shared" si="0"/>
        <v>1-2</v>
      </c>
      <c r="Q29" s="5">
        <f t="shared" si="5"/>
        <v>2</v>
      </c>
      <c r="R29" s="5" t="str">
        <f t="shared" si="1"/>
        <v>3-</v>
      </c>
      <c r="S29" s="5">
        <f t="shared" si="6"/>
        <v>2</v>
      </c>
      <c r="T29" s="8">
        <f t="shared" si="8"/>
        <v>1.8264840182648401E-2</v>
      </c>
      <c r="U29" s="8">
        <f t="shared" si="7"/>
        <v>0</v>
      </c>
    </row>
    <row r="30" spans="1:21" x14ac:dyDescent="0.25">
      <c r="A30" s="5" t="s">
        <v>89</v>
      </c>
      <c r="B30" s="19">
        <v>4</v>
      </c>
      <c r="C30" s="19">
        <v>2</v>
      </c>
      <c r="D30" s="7">
        <f>_xlfn.XLOOKUP(A30,batch_final_timeline_by_case!A:A,batch_final_timeline_by_case!D:D,"")</f>
        <v>77.59</v>
      </c>
      <c r="E30" s="5">
        <f>_xlfn.XLOOKUP(A30,batch_final_timeline_by_case!A:A,batch_final_timeline_by_case!E:E,"")</f>
        <v>74.040000000000006</v>
      </c>
      <c r="F30" s="7">
        <f>_xlfn.XLOOKUP(A30,batch_final_timeline_by_case!A:A,batch_final_timeline_by_case!F:F,"")</f>
        <v>3.55</v>
      </c>
      <c r="G30" s="5">
        <f>_xlfn.XLOOKUP(A30,batch_final_timeline_by_case!A:A,batch_final_timeline_by_case!G:G,"")</f>
        <v>1</v>
      </c>
      <c r="H30" s="5">
        <f>_xlfn.XLOOKUP(A30,batch_final_timeline_by_case!A:A,batch_final_timeline_by_case!H:H,"")</f>
        <v>0</v>
      </c>
      <c r="I30" s="5">
        <f>_xlfn.XLOOKUP(A30,batch_final_timeline_by_case!A:A,batch_final_timeline_by_case!I:I,"")</f>
        <v>0</v>
      </c>
      <c r="J30" s="8">
        <f t="shared" si="2"/>
        <v>4.5753318726640027E-2</v>
      </c>
      <c r="K30">
        <f t="shared" si="3"/>
        <v>0</v>
      </c>
      <c r="L30">
        <f t="shared" si="4"/>
        <v>0</v>
      </c>
      <c r="M30">
        <f>_xlfn.XLOOKUP(A30,idle_time_ratio_summary!A:A,idle_time_ratio_summary!G:G,"")</f>
        <v>0</v>
      </c>
      <c r="N30">
        <f>_xlfn.XLOOKUP(A30,idle_time_ratio_summary!A:A,idle_time_ratio_summary!M:M,"")</f>
        <v>1</v>
      </c>
      <c r="O30">
        <f>_xlfn.XLOOKUP(A30,idle_time_ratio_summary!A:A,idle_time_ratio_summary!N:N,"")</f>
        <v>1</v>
      </c>
      <c r="P30" s="5" t="str">
        <f t="shared" si="0"/>
        <v>3-4</v>
      </c>
      <c r="Q30" s="5">
        <f t="shared" si="5"/>
        <v>4</v>
      </c>
      <c r="R30" s="5" t="str">
        <f t="shared" si="1"/>
        <v>3-</v>
      </c>
      <c r="S30" s="5">
        <f t="shared" si="6"/>
        <v>2</v>
      </c>
      <c r="T30" s="8">
        <f t="shared" si="8"/>
        <v>4.5753318726640027E-2</v>
      </c>
      <c r="U30" s="8">
        <f t="shared" si="7"/>
        <v>0</v>
      </c>
    </row>
    <row r="31" spans="1:21" x14ac:dyDescent="0.25">
      <c r="A31" s="5" t="s">
        <v>79</v>
      </c>
      <c r="B31" s="19">
        <v>4</v>
      </c>
      <c r="C31" s="19">
        <v>3</v>
      </c>
      <c r="D31" s="7">
        <f>_xlfn.XLOOKUP(A31,batch_final_timeline_by_case!A:A,batch_final_timeline_by_case!D:D,"")</f>
        <v>70.4238</v>
      </c>
      <c r="E31" s="5">
        <f>_xlfn.XLOOKUP(A31,batch_final_timeline_by_case!A:A,batch_final_timeline_by_case!E:E,"")</f>
        <v>66.709999999999994</v>
      </c>
      <c r="F31" s="7">
        <f>_xlfn.XLOOKUP(A31,batch_final_timeline_by_case!A:A,batch_final_timeline_by_case!F:F,"")</f>
        <v>3.7138</v>
      </c>
      <c r="G31" s="5">
        <f>_xlfn.XLOOKUP(A31,batch_final_timeline_by_case!A:A,batch_final_timeline_by_case!G:G,"")</f>
        <v>1</v>
      </c>
      <c r="H31" s="5">
        <f>_xlfn.XLOOKUP(A31,batch_final_timeline_by_case!A:A,batch_final_timeline_by_case!H:H,"")</f>
        <v>0</v>
      </c>
      <c r="I31" s="5">
        <f>_xlfn.XLOOKUP(A31,batch_final_timeline_by_case!A:A,batch_final_timeline_by_case!I:I,"")</f>
        <v>0</v>
      </c>
      <c r="J31" s="8">
        <f t="shared" si="2"/>
        <v>5.2735012879168687E-2</v>
      </c>
      <c r="K31">
        <f t="shared" si="3"/>
        <v>1</v>
      </c>
      <c r="L31">
        <f t="shared" si="4"/>
        <v>1</v>
      </c>
      <c r="M31">
        <f>_xlfn.XLOOKUP(A31,idle_time_ratio_summary!A:A,idle_time_ratio_summary!G:G,"")</f>
        <v>0</v>
      </c>
      <c r="N31">
        <f>_xlfn.XLOOKUP(A31,idle_time_ratio_summary!A:A,idle_time_ratio_summary!M:M,"")</f>
        <v>1</v>
      </c>
      <c r="O31">
        <f>_xlfn.XLOOKUP(A31,idle_time_ratio_summary!A:A,idle_time_ratio_summary!N:N,"")</f>
        <v>0</v>
      </c>
      <c r="P31" s="5" t="str">
        <f t="shared" si="0"/>
        <v>3-4</v>
      </c>
      <c r="Q31" s="5">
        <f t="shared" si="5"/>
        <v>4</v>
      </c>
      <c r="R31" s="5" t="str">
        <f t="shared" si="1"/>
        <v>3-</v>
      </c>
      <c r="S31" s="5">
        <f t="shared" si="6"/>
        <v>3</v>
      </c>
      <c r="T31" s="8">
        <f t="shared" si="8"/>
        <v>5.2735012879168687E-2</v>
      </c>
      <c r="U31" s="8">
        <f t="shared" si="7"/>
        <v>0</v>
      </c>
    </row>
    <row r="32" spans="1:21" x14ac:dyDescent="0.25">
      <c r="A32" s="5" t="s">
        <v>33</v>
      </c>
      <c r="B32" s="19">
        <v>7</v>
      </c>
      <c r="C32" s="19">
        <v>3</v>
      </c>
      <c r="D32" s="7">
        <f>_xlfn.XLOOKUP(A32,batch_final_timeline_by_case!A:A,batch_final_timeline_by_case!D:D,"")</f>
        <v>79.287800000000004</v>
      </c>
      <c r="E32" s="5">
        <f>_xlfn.XLOOKUP(A32,batch_final_timeline_by_case!A:A,batch_final_timeline_by_case!E:E,"")</f>
        <v>86.08</v>
      </c>
      <c r="F32" s="7">
        <f>_xlfn.XLOOKUP(A32,batch_final_timeline_by_case!A:A,batch_final_timeline_by_case!F:F,"")</f>
        <v>-6.7922000000000002</v>
      </c>
      <c r="G32" s="5">
        <f>_xlfn.XLOOKUP(A32,batch_final_timeline_by_case!A:A,batch_final_timeline_by_case!G:G,"")</f>
        <v>0</v>
      </c>
      <c r="H32" s="5">
        <f>_xlfn.XLOOKUP(A32,batch_final_timeline_by_case!A:A,batch_final_timeline_by_case!H:H,"")</f>
        <v>1</v>
      </c>
      <c r="I32" s="5">
        <f>_xlfn.XLOOKUP(A32,batch_final_timeline_by_case!A:A,batch_final_timeline_by_case!I:I,"")</f>
        <v>0</v>
      </c>
      <c r="J32" s="8">
        <f t="shared" si="2"/>
        <v>8.5665133854136447E-2</v>
      </c>
      <c r="K32">
        <f t="shared" si="3"/>
        <v>1</v>
      </c>
      <c r="L32">
        <f t="shared" si="4"/>
        <v>0</v>
      </c>
      <c r="M32">
        <f>_xlfn.XLOOKUP(A32,idle_time_ratio_summary!A:A,idle_time_ratio_summary!G:G,"")</f>
        <v>0</v>
      </c>
      <c r="N32">
        <f>_xlfn.XLOOKUP(A32,idle_time_ratio_summary!A:A,idle_time_ratio_summary!M:M,"")</f>
        <v>1</v>
      </c>
      <c r="O32">
        <f>_xlfn.XLOOKUP(A32,idle_time_ratio_summary!A:A,idle_time_ratio_summary!N:N,"")</f>
        <v>1</v>
      </c>
      <c r="P32" s="5" t="str">
        <f t="shared" si="0"/>
        <v>5-7</v>
      </c>
      <c r="Q32" s="5">
        <f t="shared" si="5"/>
        <v>7</v>
      </c>
      <c r="R32" s="5" t="str">
        <f t="shared" si="1"/>
        <v>3-</v>
      </c>
      <c r="S32" s="5">
        <f t="shared" si="6"/>
        <v>3</v>
      </c>
      <c r="T32" s="8">
        <f t="shared" si="8"/>
        <v>0</v>
      </c>
      <c r="U32" s="8">
        <f t="shared" si="7"/>
        <v>7.8905669144981413E-2</v>
      </c>
    </row>
    <row r="33" spans="1:21" x14ac:dyDescent="0.25">
      <c r="A33" s="5" t="s">
        <v>35</v>
      </c>
      <c r="B33" s="19">
        <v>3</v>
      </c>
      <c r="C33" s="19">
        <v>3</v>
      </c>
      <c r="D33" s="7">
        <f>_xlfn.XLOOKUP(A33,batch_final_timeline_by_case!A:A,batch_final_timeline_by_case!D:D,"")</f>
        <v>67.98</v>
      </c>
      <c r="E33" s="5">
        <f>_xlfn.XLOOKUP(A33,batch_final_timeline_by_case!A:A,batch_final_timeline_by_case!E:E,"")</f>
        <v>66.099999999999994</v>
      </c>
      <c r="F33" s="7">
        <f>_xlfn.XLOOKUP(A33,batch_final_timeline_by_case!A:A,batch_final_timeline_by_case!F:F,"")</f>
        <v>1.88</v>
      </c>
      <c r="G33" s="5">
        <f>_xlfn.XLOOKUP(A33,batch_final_timeline_by_case!A:A,batch_final_timeline_by_case!G:G,"")</f>
        <v>1</v>
      </c>
      <c r="H33" s="5">
        <f>_xlfn.XLOOKUP(A33,batch_final_timeline_by_case!A:A,batch_final_timeline_by_case!H:H,"")</f>
        <v>0</v>
      </c>
      <c r="I33" s="5">
        <f>_xlfn.XLOOKUP(A33,batch_final_timeline_by_case!A:A,batch_final_timeline_by_case!I:I,"")</f>
        <v>0</v>
      </c>
      <c r="J33" s="8">
        <f t="shared" si="2"/>
        <v>2.7655192703736391E-2</v>
      </c>
      <c r="K33">
        <f t="shared" si="3"/>
        <v>0</v>
      </c>
      <c r="L33">
        <f t="shared" si="4"/>
        <v>0</v>
      </c>
      <c r="M33">
        <f>_xlfn.XLOOKUP(A33,idle_time_ratio_summary!A:A,idle_time_ratio_summary!G:G,"")</f>
        <v>1</v>
      </c>
      <c r="N33">
        <f>_xlfn.XLOOKUP(A33,idle_time_ratio_summary!A:A,idle_time_ratio_summary!M:M,"")</f>
        <v>1</v>
      </c>
      <c r="O33">
        <f>_xlfn.XLOOKUP(A33,idle_time_ratio_summary!A:A,idle_time_ratio_summary!N:N,"")</f>
        <v>0</v>
      </c>
      <c r="P33" s="5" t="str">
        <f t="shared" si="0"/>
        <v>3-4</v>
      </c>
      <c r="Q33" s="5">
        <f t="shared" si="5"/>
        <v>3</v>
      </c>
      <c r="R33" s="5" t="str">
        <f t="shared" si="1"/>
        <v>3-</v>
      </c>
      <c r="S33" s="5">
        <f t="shared" si="6"/>
        <v>3</v>
      </c>
      <c r="T33" s="8">
        <f t="shared" si="8"/>
        <v>2.7655192703736391E-2</v>
      </c>
      <c r="U33" s="8">
        <f t="shared" si="7"/>
        <v>0</v>
      </c>
    </row>
    <row r="34" spans="1:21" x14ac:dyDescent="0.25">
      <c r="A34" s="5" t="s">
        <v>34</v>
      </c>
      <c r="B34" s="19">
        <v>4</v>
      </c>
      <c r="C34" s="19">
        <v>3</v>
      </c>
      <c r="D34" s="7">
        <f>_xlfn.XLOOKUP(A34,batch_final_timeline_by_case!A:A,batch_final_timeline_by_case!D:D,"")</f>
        <v>69.87</v>
      </c>
      <c r="E34" s="5">
        <f>_xlfn.XLOOKUP(A34,batch_final_timeline_by_case!A:A,batch_final_timeline_by_case!E:E,"")</f>
        <v>68.819999999999993</v>
      </c>
      <c r="F34" s="7">
        <f>_xlfn.XLOOKUP(A34,batch_final_timeline_by_case!A:A,batch_final_timeline_by_case!F:F,"")</f>
        <v>1.05</v>
      </c>
      <c r="G34" s="5">
        <f>_xlfn.XLOOKUP(A34,batch_final_timeline_by_case!A:A,batch_final_timeline_by_case!G:G,"")</f>
        <v>1</v>
      </c>
      <c r="H34" s="5">
        <f>_xlfn.XLOOKUP(A34,batch_final_timeline_by_case!A:A,batch_final_timeline_by_case!H:H,"")</f>
        <v>0</v>
      </c>
      <c r="I34" s="5">
        <f>_xlfn.XLOOKUP(A34,batch_final_timeline_by_case!A:A,batch_final_timeline_by_case!I:I,"")</f>
        <v>0</v>
      </c>
      <c r="J34" s="8">
        <f t="shared" si="2"/>
        <v>1.50279089738085E-2</v>
      </c>
      <c r="K34">
        <f t="shared" si="3"/>
        <v>0</v>
      </c>
      <c r="L34">
        <f t="shared" si="4"/>
        <v>0</v>
      </c>
      <c r="M34">
        <f>_xlfn.XLOOKUP(A34,idle_time_ratio_summary!A:A,idle_time_ratio_summary!G:G,"")</f>
        <v>1</v>
      </c>
      <c r="N34">
        <f>_xlfn.XLOOKUP(A34,idle_time_ratio_summary!A:A,idle_time_ratio_summary!M:M,"")</f>
        <v>1</v>
      </c>
      <c r="O34">
        <f>_xlfn.XLOOKUP(A34,idle_time_ratio_summary!A:A,idle_time_ratio_summary!N:N,"")</f>
        <v>0</v>
      </c>
      <c r="P34" s="5" t="str">
        <f t="shared" ref="P34:P65" si="9">IF(B34&lt;=2,"1-2",IF(B34&lt;=4,"3-4",IF(B34&lt;=7,"5-7",IF(B34&lt;=11,"8-11","12+"))))</f>
        <v>3-4</v>
      </c>
      <c r="Q34" s="5">
        <f t="shared" si="5"/>
        <v>4</v>
      </c>
      <c r="R34" s="5" t="str">
        <f t="shared" ref="R34:R65" si="10">IF(C34&lt;=3,"3-","4+")</f>
        <v>3-</v>
      </c>
      <c r="S34" s="5">
        <f t="shared" si="6"/>
        <v>3</v>
      </c>
      <c r="T34" s="8">
        <f t="shared" si="8"/>
        <v>1.50279089738085E-2</v>
      </c>
      <c r="U34" s="8">
        <f t="shared" si="7"/>
        <v>0</v>
      </c>
    </row>
    <row r="35" spans="1:21" x14ac:dyDescent="0.25">
      <c r="A35" s="5" t="s">
        <v>69</v>
      </c>
      <c r="B35" s="19">
        <v>8</v>
      </c>
      <c r="C35" s="19">
        <v>3</v>
      </c>
      <c r="D35" s="7">
        <f>_xlfn.XLOOKUP(A35,batch_final_timeline_by_case!A:A,batch_final_timeline_by_case!D:D,"")</f>
        <v>87.097800000000007</v>
      </c>
      <c r="E35" s="5">
        <f>_xlfn.XLOOKUP(A35,batch_final_timeline_by_case!A:A,batch_final_timeline_by_case!E:E,"")</f>
        <v>84.13</v>
      </c>
      <c r="F35" s="7">
        <f>_xlfn.XLOOKUP(A35,batch_final_timeline_by_case!A:A,batch_final_timeline_by_case!F:F,"")</f>
        <v>2.9678</v>
      </c>
      <c r="G35" s="5">
        <f>_xlfn.XLOOKUP(A35,batch_final_timeline_by_case!A:A,batch_final_timeline_by_case!G:G,"")</f>
        <v>1</v>
      </c>
      <c r="H35" s="5">
        <f>_xlfn.XLOOKUP(A35,batch_final_timeline_by_case!A:A,batch_final_timeline_by_case!H:H,"")</f>
        <v>0</v>
      </c>
      <c r="I35" s="5">
        <f>_xlfn.XLOOKUP(A35,batch_final_timeline_by_case!A:A,batch_final_timeline_by_case!I:I,"")</f>
        <v>0</v>
      </c>
      <c r="J35" s="8">
        <f t="shared" si="2"/>
        <v>3.4074339420743116E-2</v>
      </c>
      <c r="K35">
        <f t="shared" si="3"/>
        <v>0</v>
      </c>
      <c r="L35">
        <f t="shared" si="4"/>
        <v>0</v>
      </c>
      <c r="M35">
        <f>_xlfn.XLOOKUP(A35,idle_time_ratio_summary!A:A,idle_time_ratio_summary!G:G,"")</f>
        <v>0</v>
      </c>
      <c r="N35">
        <f>_xlfn.XLOOKUP(A35,idle_time_ratio_summary!A:A,idle_time_ratio_summary!M:M,"")</f>
        <v>1</v>
      </c>
      <c r="O35">
        <f>_xlfn.XLOOKUP(A35,idle_time_ratio_summary!A:A,idle_time_ratio_summary!N:N,"")</f>
        <v>1</v>
      </c>
      <c r="P35" s="5" t="str">
        <f t="shared" si="9"/>
        <v>8-11</v>
      </c>
      <c r="Q35" s="5">
        <f t="shared" si="5"/>
        <v>8</v>
      </c>
      <c r="R35" s="5" t="str">
        <f t="shared" si="10"/>
        <v>3-</v>
      </c>
      <c r="S35" s="5">
        <f t="shared" si="6"/>
        <v>3</v>
      </c>
      <c r="T35" s="8">
        <f t="shared" si="8"/>
        <v>3.4074339420743116E-2</v>
      </c>
      <c r="U35" s="8">
        <f t="shared" si="7"/>
        <v>0</v>
      </c>
    </row>
    <row r="36" spans="1:21" x14ac:dyDescent="0.25">
      <c r="A36" s="5" t="s">
        <v>94</v>
      </c>
      <c r="B36" s="19">
        <v>3</v>
      </c>
      <c r="C36" s="19">
        <v>3</v>
      </c>
      <c r="D36" s="7">
        <f>_xlfn.XLOOKUP(A36,batch_final_timeline_by_case!A:A,batch_final_timeline_by_case!D:D,"")</f>
        <v>70.31</v>
      </c>
      <c r="E36" s="5">
        <f>_xlfn.XLOOKUP(A36,batch_final_timeline_by_case!A:A,batch_final_timeline_by_case!E:E,"")</f>
        <v>66.91</v>
      </c>
      <c r="F36" s="7">
        <f>_xlfn.XLOOKUP(A36,batch_final_timeline_by_case!A:A,batch_final_timeline_by_case!F:F,"")</f>
        <v>3.4</v>
      </c>
      <c r="G36" s="5">
        <f>_xlfn.XLOOKUP(A36,batch_final_timeline_by_case!A:A,batch_final_timeline_by_case!G:G,"")</f>
        <v>1</v>
      </c>
      <c r="H36" s="5">
        <f>_xlfn.XLOOKUP(A36,batch_final_timeline_by_case!A:A,batch_final_timeline_by_case!H:H,"")</f>
        <v>0</v>
      </c>
      <c r="I36" s="5">
        <f>_xlfn.XLOOKUP(A36,batch_final_timeline_by_case!A:A,batch_final_timeline_by_case!I:I,"")</f>
        <v>0</v>
      </c>
      <c r="J36" s="8">
        <f t="shared" si="2"/>
        <v>4.8357274925330679E-2</v>
      </c>
      <c r="K36">
        <f t="shared" si="3"/>
        <v>0</v>
      </c>
      <c r="L36">
        <f t="shared" si="4"/>
        <v>0</v>
      </c>
      <c r="M36">
        <f>_xlfn.XLOOKUP(A36,idle_time_ratio_summary!A:A,idle_time_ratio_summary!G:G,"")</f>
        <v>0</v>
      </c>
      <c r="N36">
        <f>_xlfn.XLOOKUP(A36,idle_time_ratio_summary!A:A,idle_time_ratio_summary!M:M,"")</f>
        <v>1</v>
      </c>
      <c r="O36">
        <f>_xlfn.XLOOKUP(A36,idle_time_ratio_summary!A:A,idle_time_ratio_summary!N:N,"")</f>
        <v>0</v>
      </c>
      <c r="P36" s="5" t="str">
        <f t="shared" si="9"/>
        <v>3-4</v>
      </c>
      <c r="Q36" s="5">
        <f t="shared" si="5"/>
        <v>3</v>
      </c>
      <c r="R36" s="5" t="str">
        <f t="shared" si="10"/>
        <v>3-</v>
      </c>
      <c r="S36" s="5">
        <f t="shared" si="6"/>
        <v>3</v>
      </c>
      <c r="T36" s="8">
        <f t="shared" si="8"/>
        <v>4.8357274925330679E-2</v>
      </c>
      <c r="U36" s="8">
        <f t="shared" si="7"/>
        <v>0</v>
      </c>
    </row>
    <row r="37" spans="1:21" x14ac:dyDescent="0.25">
      <c r="A37" s="5" t="s">
        <v>84</v>
      </c>
      <c r="B37" s="19">
        <v>3</v>
      </c>
      <c r="C37" s="19">
        <v>3</v>
      </c>
      <c r="D37" s="7">
        <f>_xlfn.XLOOKUP(A37,batch_final_timeline_by_case!A:A,batch_final_timeline_by_case!D:D,"")</f>
        <v>70.959199999999996</v>
      </c>
      <c r="E37" s="5">
        <f>_xlfn.XLOOKUP(A37,batch_final_timeline_by_case!A:A,batch_final_timeline_by_case!E:E,"")</f>
        <v>65.61</v>
      </c>
      <c r="F37" s="7">
        <f>_xlfn.XLOOKUP(A37,batch_final_timeline_by_case!A:A,batch_final_timeline_by_case!F:F,"")</f>
        <v>5.3491999999999997</v>
      </c>
      <c r="G37" s="5">
        <f>_xlfn.XLOOKUP(A37,batch_final_timeline_by_case!A:A,batch_final_timeline_by_case!G:G,"")</f>
        <v>1</v>
      </c>
      <c r="H37" s="5">
        <f>_xlfn.XLOOKUP(A37,batch_final_timeline_by_case!A:A,batch_final_timeline_by_case!H:H,"")</f>
        <v>0</v>
      </c>
      <c r="I37" s="5">
        <f>_xlfn.XLOOKUP(A37,batch_final_timeline_by_case!A:A,batch_final_timeline_by_case!I:I,"")</f>
        <v>0</v>
      </c>
      <c r="J37" s="8">
        <f t="shared" si="2"/>
        <v>7.538416442124489E-2</v>
      </c>
      <c r="K37">
        <f t="shared" si="3"/>
        <v>1</v>
      </c>
      <c r="L37">
        <f t="shared" si="4"/>
        <v>1</v>
      </c>
      <c r="M37">
        <f>_xlfn.XLOOKUP(A37,idle_time_ratio_summary!A:A,idle_time_ratio_summary!G:G,"")</f>
        <v>1</v>
      </c>
      <c r="N37">
        <f>_xlfn.XLOOKUP(A37,idle_time_ratio_summary!A:A,idle_time_ratio_summary!M:M,"")</f>
        <v>1</v>
      </c>
      <c r="O37">
        <f>_xlfn.XLOOKUP(A37,idle_time_ratio_summary!A:A,idle_time_ratio_summary!N:N,"")</f>
        <v>1</v>
      </c>
      <c r="P37" s="5" t="str">
        <f t="shared" si="9"/>
        <v>3-4</v>
      </c>
      <c r="Q37" s="5">
        <f t="shared" si="5"/>
        <v>3</v>
      </c>
      <c r="R37" s="5" t="str">
        <f t="shared" si="10"/>
        <v>3-</v>
      </c>
      <c r="S37" s="5">
        <f t="shared" si="6"/>
        <v>3</v>
      </c>
      <c r="T37" s="8">
        <f t="shared" si="8"/>
        <v>7.538416442124489E-2</v>
      </c>
      <c r="U37" s="8">
        <f t="shared" si="7"/>
        <v>0</v>
      </c>
    </row>
    <row r="38" spans="1:21" x14ac:dyDescent="0.25">
      <c r="A38" s="5" t="s">
        <v>58</v>
      </c>
      <c r="B38" s="19">
        <v>9</v>
      </c>
      <c r="C38" s="19">
        <v>3</v>
      </c>
      <c r="D38" s="7">
        <f>_xlfn.XLOOKUP(A38,batch_final_timeline_by_case!A:A,batch_final_timeline_by_case!D:D,"")</f>
        <v>89.547799999999995</v>
      </c>
      <c r="E38" s="5">
        <f>_xlfn.XLOOKUP(A38,batch_final_timeline_by_case!A:A,batch_final_timeline_by_case!E:E,"")</f>
        <v>90.7</v>
      </c>
      <c r="F38" s="7">
        <f>_xlfn.XLOOKUP(A38,batch_final_timeline_by_case!A:A,batch_final_timeline_by_case!F:F,"")</f>
        <v>-1.1521999999999999</v>
      </c>
      <c r="G38" s="5">
        <f>_xlfn.XLOOKUP(A38,batch_final_timeline_by_case!A:A,batch_final_timeline_by_case!G:G,"")</f>
        <v>0</v>
      </c>
      <c r="H38" s="5">
        <f>_xlfn.XLOOKUP(A38,batch_final_timeline_by_case!A:A,batch_final_timeline_by_case!H:H,"")</f>
        <v>1</v>
      </c>
      <c r="I38" s="5">
        <f>_xlfn.XLOOKUP(A38,batch_final_timeline_by_case!A:A,batch_final_timeline_by_case!I:I,"")</f>
        <v>0</v>
      </c>
      <c r="J38" s="8">
        <f t="shared" si="2"/>
        <v>1.2866871101244251E-2</v>
      </c>
      <c r="K38">
        <f t="shared" si="3"/>
        <v>0</v>
      </c>
      <c r="L38">
        <f t="shared" si="4"/>
        <v>0</v>
      </c>
      <c r="M38">
        <f>_xlfn.XLOOKUP(A38,idle_time_ratio_summary!A:A,idle_time_ratio_summary!G:G,"")</f>
        <v>0</v>
      </c>
      <c r="N38">
        <f>_xlfn.XLOOKUP(A38,idle_time_ratio_summary!A:A,idle_time_ratio_summary!M:M,"")</f>
        <v>1</v>
      </c>
      <c r="O38">
        <f>_xlfn.XLOOKUP(A38,idle_time_ratio_summary!A:A,idle_time_ratio_summary!N:N,"")</f>
        <v>1</v>
      </c>
      <c r="P38" s="5" t="str">
        <f t="shared" si="9"/>
        <v>8-11</v>
      </c>
      <c r="Q38" s="5">
        <f t="shared" si="5"/>
        <v>9</v>
      </c>
      <c r="R38" s="5" t="str">
        <f t="shared" si="10"/>
        <v>3-</v>
      </c>
      <c r="S38" s="5">
        <f t="shared" si="6"/>
        <v>3</v>
      </c>
      <c r="T38" s="8">
        <f t="shared" si="8"/>
        <v>0</v>
      </c>
      <c r="U38" s="8">
        <f t="shared" si="7"/>
        <v>1.2703417861080483E-2</v>
      </c>
    </row>
    <row r="39" spans="1:21" x14ac:dyDescent="0.25">
      <c r="A39" s="5" t="s">
        <v>63</v>
      </c>
      <c r="B39" s="19">
        <v>7</v>
      </c>
      <c r="C39" s="19">
        <v>4</v>
      </c>
      <c r="D39" s="7">
        <f>_xlfn.XLOOKUP(A39,batch_final_timeline_by_case!A:A,batch_final_timeline_by_case!D:D,"")</f>
        <v>82.913799999999995</v>
      </c>
      <c r="E39" s="5">
        <f>_xlfn.XLOOKUP(A39,batch_final_timeline_by_case!A:A,batch_final_timeline_by_case!E:E,"")</f>
        <v>81.599999999999994</v>
      </c>
      <c r="F39" s="7">
        <f>_xlfn.XLOOKUP(A39,batch_final_timeline_by_case!A:A,batch_final_timeline_by_case!F:F,"")</f>
        <v>1.3138000000000001</v>
      </c>
      <c r="G39" s="5">
        <f>_xlfn.XLOOKUP(A39,batch_final_timeline_by_case!A:A,batch_final_timeline_by_case!G:G,"")</f>
        <v>1</v>
      </c>
      <c r="H39" s="5">
        <f>_xlfn.XLOOKUP(A39,batch_final_timeline_by_case!A:A,batch_final_timeline_by_case!H:H,"")</f>
        <v>0</v>
      </c>
      <c r="I39" s="5">
        <f>_xlfn.XLOOKUP(A39,batch_final_timeline_by_case!A:A,batch_final_timeline_by_case!I:I,"")</f>
        <v>0</v>
      </c>
      <c r="J39" s="8">
        <f t="shared" si="2"/>
        <v>1.584537194049724E-2</v>
      </c>
      <c r="K39">
        <f t="shared" si="3"/>
        <v>0</v>
      </c>
      <c r="L39">
        <f t="shared" si="4"/>
        <v>0</v>
      </c>
      <c r="M39">
        <f>_xlfn.XLOOKUP(A39,idle_time_ratio_summary!A:A,idle_time_ratio_summary!G:G,"")</f>
        <v>0</v>
      </c>
      <c r="N39">
        <f>_xlfn.XLOOKUP(A39,idle_time_ratio_summary!A:A,idle_time_ratio_summary!M:M,"")</f>
        <v>1</v>
      </c>
      <c r="O39">
        <f>_xlfn.XLOOKUP(A39,idle_time_ratio_summary!A:A,idle_time_ratio_summary!N:N,"")</f>
        <v>1</v>
      </c>
      <c r="P39" s="5" t="str">
        <f t="shared" si="9"/>
        <v>5-7</v>
      </c>
      <c r="Q39" s="5">
        <f t="shared" si="5"/>
        <v>7</v>
      </c>
      <c r="R39" s="5" t="str">
        <f t="shared" si="10"/>
        <v>4+</v>
      </c>
      <c r="S39" s="5">
        <f t="shared" si="6"/>
        <v>4</v>
      </c>
      <c r="T39" s="8">
        <f t="shared" si="8"/>
        <v>1.584537194049724E-2</v>
      </c>
      <c r="U39" s="8">
        <f t="shared" si="7"/>
        <v>0</v>
      </c>
    </row>
    <row r="40" spans="1:21" x14ac:dyDescent="0.25">
      <c r="A40" s="5" t="s">
        <v>85</v>
      </c>
      <c r="B40" s="19">
        <v>4</v>
      </c>
      <c r="C40" s="19">
        <v>4</v>
      </c>
      <c r="D40" s="7">
        <f>_xlfn.XLOOKUP(A40,batch_final_timeline_by_case!A:A,batch_final_timeline_by_case!D:D,"")</f>
        <v>70.069999999999993</v>
      </c>
      <c r="E40" s="5">
        <f>_xlfn.XLOOKUP(A40,batch_final_timeline_by_case!A:A,batch_final_timeline_by_case!E:E,"")</f>
        <v>70.58</v>
      </c>
      <c r="F40" s="7">
        <f>_xlfn.XLOOKUP(A40,batch_final_timeline_by_case!A:A,batch_final_timeline_by_case!F:F,"")</f>
        <v>-0.51</v>
      </c>
      <c r="G40" s="5">
        <f>_xlfn.XLOOKUP(A40,batch_final_timeline_by_case!A:A,batch_final_timeline_by_case!G:G,"")</f>
        <v>0</v>
      </c>
      <c r="H40" s="5">
        <f>_xlfn.XLOOKUP(A40,batch_final_timeline_by_case!A:A,batch_final_timeline_by_case!H:H,"")</f>
        <v>1</v>
      </c>
      <c r="I40" s="5">
        <f>_xlfn.XLOOKUP(A40,batch_final_timeline_by_case!A:A,batch_final_timeline_by_case!I:I,"")</f>
        <v>0</v>
      </c>
      <c r="J40" s="8">
        <f t="shared" si="2"/>
        <v>7.2784358498644225E-3</v>
      </c>
      <c r="K40">
        <f t="shared" si="3"/>
        <v>0</v>
      </c>
      <c r="L40">
        <f t="shared" si="4"/>
        <v>0</v>
      </c>
      <c r="M40">
        <f>_xlfn.XLOOKUP(A40,idle_time_ratio_summary!A:A,idle_time_ratio_summary!G:G,"")</f>
        <v>0</v>
      </c>
      <c r="N40">
        <f>_xlfn.XLOOKUP(A40,idle_time_ratio_summary!A:A,idle_time_ratio_summary!M:M,"")</f>
        <v>0</v>
      </c>
      <c r="O40">
        <f>_xlfn.XLOOKUP(A40,idle_time_ratio_summary!A:A,idle_time_ratio_summary!N:N,"")</f>
        <v>0</v>
      </c>
      <c r="P40" s="5" t="str">
        <f t="shared" si="9"/>
        <v>3-4</v>
      </c>
      <c r="Q40" s="5">
        <f t="shared" si="5"/>
        <v>4</v>
      </c>
      <c r="R40" s="5" t="str">
        <f t="shared" si="10"/>
        <v>4+</v>
      </c>
      <c r="S40" s="5">
        <f t="shared" si="6"/>
        <v>4</v>
      </c>
      <c r="T40" s="8">
        <f t="shared" si="8"/>
        <v>0</v>
      </c>
      <c r="U40" s="8">
        <f t="shared" si="7"/>
        <v>7.2258430150184188E-3</v>
      </c>
    </row>
    <row r="41" spans="1:21" x14ac:dyDescent="0.25">
      <c r="A41" s="5" t="s">
        <v>46</v>
      </c>
      <c r="B41" s="19">
        <v>7</v>
      </c>
      <c r="C41" s="19">
        <v>4</v>
      </c>
      <c r="D41" s="7">
        <f>_xlfn.XLOOKUP(A41,batch_final_timeline_by_case!A:A,batch_final_timeline_by_case!D:D,"")</f>
        <v>81.453800000000001</v>
      </c>
      <c r="E41" s="5">
        <f>_xlfn.XLOOKUP(A41,batch_final_timeline_by_case!A:A,batch_final_timeline_by_case!E:E,"")</f>
        <v>84.47</v>
      </c>
      <c r="F41" s="7">
        <f>_xlfn.XLOOKUP(A41,batch_final_timeline_by_case!A:A,batch_final_timeline_by_case!F:F,"")</f>
        <v>-3.0162</v>
      </c>
      <c r="G41" s="5">
        <f>_xlfn.XLOOKUP(A41,batch_final_timeline_by_case!A:A,batch_final_timeline_by_case!G:G,"")</f>
        <v>0</v>
      </c>
      <c r="H41" s="5">
        <f>_xlfn.XLOOKUP(A41,batch_final_timeline_by_case!A:A,batch_final_timeline_by_case!H:H,"")</f>
        <v>1</v>
      </c>
      <c r="I41" s="5">
        <f>_xlfn.XLOOKUP(A41,batch_final_timeline_by_case!A:A,batch_final_timeline_by_case!I:I,"")</f>
        <v>0</v>
      </c>
      <c r="J41" s="8">
        <f t="shared" si="2"/>
        <v>3.7029579958209435E-2</v>
      </c>
      <c r="K41">
        <f t="shared" si="3"/>
        <v>0</v>
      </c>
      <c r="L41">
        <f t="shared" si="4"/>
        <v>0</v>
      </c>
      <c r="M41">
        <f>_xlfn.XLOOKUP(A41,idle_time_ratio_summary!A:A,idle_time_ratio_summary!G:G,"")</f>
        <v>0</v>
      </c>
      <c r="N41">
        <f>_xlfn.XLOOKUP(A41,idle_time_ratio_summary!A:A,idle_time_ratio_summary!M:M,"")</f>
        <v>1</v>
      </c>
      <c r="O41">
        <f>_xlfn.XLOOKUP(A41,idle_time_ratio_summary!A:A,idle_time_ratio_summary!N:N,"")</f>
        <v>1</v>
      </c>
      <c r="P41" s="5" t="str">
        <f t="shared" si="9"/>
        <v>5-7</v>
      </c>
      <c r="Q41" s="5">
        <f t="shared" si="5"/>
        <v>7</v>
      </c>
      <c r="R41" s="5" t="str">
        <f t="shared" si="10"/>
        <v>4+</v>
      </c>
      <c r="S41" s="5">
        <f t="shared" si="6"/>
        <v>4</v>
      </c>
      <c r="T41" s="8">
        <f t="shared" si="8"/>
        <v>0</v>
      </c>
      <c r="U41" s="8">
        <f t="shared" si="7"/>
        <v>3.5707351722505033E-2</v>
      </c>
    </row>
    <row r="42" spans="1:21" x14ac:dyDescent="0.25">
      <c r="A42" s="5" t="s">
        <v>88</v>
      </c>
      <c r="B42" s="19">
        <v>7</v>
      </c>
      <c r="C42" s="19">
        <v>4</v>
      </c>
      <c r="D42" s="7">
        <f>_xlfn.XLOOKUP(A42,batch_final_timeline_by_case!A:A,batch_final_timeline_by_case!D:D,"")</f>
        <v>80.777799999999999</v>
      </c>
      <c r="E42" s="5">
        <f>_xlfn.XLOOKUP(A42,batch_final_timeline_by_case!A:A,batch_final_timeline_by_case!E:E,"")</f>
        <v>81.42</v>
      </c>
      <c r="F42" s="7">
        <f>_xlfn.XLOOKUP(A42,batch_final_timeline_by_case!A:A,batch_final_timeline_by_case!F:F,"")</f>
        <v>-0.64219999999999999</v>
      </c>
      <c r="G42" s="5">
        <f>_xlfn.XLOOKUP(A42,batch_final_timeline_by_case!A:A,batch_final_timeline_by_case!G:G,"")</f>
        <v>0</v>
      </c>
      <c r="H42" s="5">
        <f>_xlfn.XLOOKUP(A42,batch_final_timeline_by_case!A:A,batch_final_timeline_by_case!H:H,"")</f>
        <v>1</v>
      </c>
      <c r="I42" s="5">
        <f>_xlfn.XLOOKUP(A42,batch_final_timeline_by_case!A:A,batch_final_timeline_by_case!I:I,"")</f>
        <v>0</v>
      </c>
      <c r="J42" s="8">
        <f t="shared" si="2"/>
        <v>7.950204140246454E-3</v>
      </c>
      <c r="K42">
        <f t="shared" si="3"/>
        <v>0</v>
      </c>
      <c r="L42">
        <f t="shared" si="4"/>
        <v>0</v>
      </c>
      <c r="M42">
        <f>_xlfn.XLOOKUP(A42,idle_time_ratio_summary!A:A,idle_time_ratio_summary!G:G,"")</f>
        <v>0</v>
      </c>
      <c r="N42">
        <f>_xlfn.XLOOKUP(A42,idle_time_ratio_summary!A:A,idle_time_ratio_summary!M:M,"")</f>
        <v>1</v>
      </c>
      <c r="O42">
        <f>_xlfn.XLOOKUP(A42,idle_time_ratio_summary!A:A,idle_time_ratio_summary!N:N,"")</f>
        <v>1</v>
      </c>
      <c r="P42" s="5" t="str">
        <f t="shared" si="9"/>
        <v>5-7</v>
      </c>
      <c r="Q42" s="5">
        <f t="shared" si="5"/>
        <v>7</v>
      </c>
      <c r="R42" s="5" t="str">
        <f t="shared" si="10"/>
        <v>4+</v>
      </c>
      <c r="S42" s="5">
        <f t="shared" si="6"/>
        <v>4</v>
      </c>
      <c r="T42" s="8">
        <f t="shared" si="8"/>
        <v>0</v>
      </c>
      <c r="U42" s="8">
        <f t="shared" si="7"/>
        <v>7.8874969295013499E-3</v>
      </c>
    </row>
    <row r="43" spans="1:21" x14ac:dyDescent="0.25">
      <c r="A43" s="5" t="s">
        <v>52</v>
      </c>
      <c r="B43" s="19">
        <v>7</v>
      </c>
      <c r="C43" s="19">
        <v>4</v>
      </c>
      <c r="D43" s="7">
        <f>_xlfn.XLOOKUP(A43,batch_final_timeline_by_case!A:A,batch_final_timeline_by_case!D:D,"")</f>
        <v>76.757999999999996</v>
      </c>
      <c r="E43" s="5">
        <f>_xlfn.XLOOKUP(A43,batch_final_timeline_by_case!A:A,batch_final_timeline_by_case!E:E,"")</f>
        <v>68.53</v>
      </c>
      <c r="F43" s="7">
        <f>_xlfn.XLOOKUP(A43,batch_final_timeline_by_case!A:A,batch_final_timeline_by_case!F:F,"")</f>
        <v>8.2279999999999998</v>
      </c>
      <c r="G43" s="5">
        <f>_xlfn.XLOOKUP(A43,batch_final_timeline_by_case!A:A,batch_final_timeline_by_case!G:G,"")</f>
        <v>1</v>
      </c>
      <c r="H43" s="5">
        <f>_xlfn.XLOOKUP(A43,batch_final_timeline_by_case!A:A,batch_final_timeline_by_case!H:H,"")</f>
        <v>0</v>
      </c>
      <c r="I43" s="5">
        <f>_xlfn.XLOOKUP(A43,batch_final_timeline_by_case!A:A,batch_final_timeline_by_case!I:I,"")</f>
        <v>0</v>
      </c>
      <c r="J43" s="8">
        <f t="shared" si="2"/>
        <v>0.10719403840642018</v>
      </c>
      <c r="K43">
        <f t="shared" si="3"/>
        <v>1</v>
      </c>
      <c r="L43">
        <f t="shared" si="4"/>
        <v>1</v>
      </c>
      <c r="M43">
        <f>_xlfn.XLOOKUP(A43,idle_time_ratio_summary!A:A,idle_time_ratio_summary!G:G,"")</f>
        <v>0</v>
      </c>
      <c r="N43">
        <f>_xlfn.XLOOKUP(A43,idle_time_ratio_summary!A:A,idle_time_ratio_summary!M:M,"")</f>
        <v>1</v>
      </c>
      <c r="O43">
        <f>_xlfn.XLOOKUP(A43,idle_time_ratio_summary!A:A,idle_time_ratio_summary!N:N,"")</f>
        <v>1</v>
      </c>
      <c r="P43" s="5" t="str">
        <f t="shared" si="9"/>
        <v>5-7</v>
      </c>
      <c r="Q43" s="5">
        <f t="shared" si="5"/>
        <v>7</v>
      </c>
      <c r="R43" s="5" t="str">
        <f t="shared" si="10"/>
        <v>4+</v>
      </c>
      <c r="S43" s="5">
        <f t="shared" si="6"/>
        <v>4</v>
      </c>
      <c r="T43" s="8">
        <f t="shared" si="8"/>
        <v>0.10719403840642018</v>
      </c>
      <c r="U43" s="8">
        <f t="shared" si="7"/>
        <v>0</v>
      </c>
    </row>
    <row r="44" spans="1:21" x14ac:dyDescent="0.25">
      <c r="A44" s="5" t="s">
        <v>97</v>
      </c>
      <c r="B44" s="19">
        <v>6</v>
      </c>
      <c r="C44" s="19">
        <v>4</v>
      </c>
      <c r="D44" s="7">
        <f>_xlfn.XLOOKUP(A44,batch_final_timeline_by_case!A:A,batch_final_timeline_by_case!D:D,"")</f>
        <v>76.403999999999996</v>
      </c>
      <c r="E44" s="5">
        <f>_xlfn.XLOOKUP(A44,batch_final_timeline_by_case!A:A,batch_final_timeline_by_case!E:E,"")</f>
        <v>79.33</v>
      </c>
      <c r="F44" s="7">
        <f>_xlfn.XLOOKUP(A44,batch_final_timeline_by_case!A:A,batch_final_timeline_by_case!F:F,"")</f>
        <v>-2.9260000000000002</v>
      </c>
      <c r="G44" s="5">
        <f>_xlfn.XLOOKUP(A44,batch_final_timeline_by_case!A:A,batch_final_timeline_by_case!G:G,"")</f>
        <v>0</v>
      </c>
      <c r="H44" s="5">
        <f>_xlfn.XLOOKUP(A44,batch_final_timeline_by_case!A:A,batch_final_timeline_by_case!H:H,"")</f>
        <v>1</v>
      </c>
      <c r="I44" s="5">
        <f>_xlfn.XLOOKUP(A44,batch_final_timeline_by_case!A:A,batch_final_timeline_by_case!I:I,"")</f>
        <v>0</v>
      </c>
      <c r="J44" s="8">
        <f t="shared" si="2"/>
        <v>3.8296424270980581E-2</v>
      </c>
      <c r="K44">
        <f t="shared" si="3"/>
        <v>0</v>
      </c>
      <c r="L44">
        <f t="shared" si="4"/>
        <v>0</v>
      </c>
      <c r="M44">
        <f>_xlfn.XLOOKUP(A44,idle_time_ratio_summary!A:A,idle_time_ratio_summary!G:G,"")</f>
        <v>0</v>
      </c>
      <c r="N44">
        <f>_xlfn.XLOOKUP(A44,idle_time_ratio_summary!A:A,idle_time_ratio_summary!M:M,"")</f>
        <v>1</v>
      </c>
      <c r="O44">
        <f>_xlfn.XLOOKUP(A44,idle_time_ratio_summary!A:A,idle_time_ratio_summary!N:N,"")</f>
        <v>1</v>
      </c>
      <c r="P44" s="5" t="str">
        <f t="shared" si="9"/>
        <v>5-7</v>
      </c>
      <c r="Q44" s="5">
        <f t="shared" si="5"/>
        <v>6</v>
      </c>
      <c r="R44" s="5" t="str">
        <f t="shared" si="10"/>
        <v>4+</v>
      </c>
      <c r="S44" s="5">
        <f t="shared" si="6"/>
        <v>4</v>
      </c>
      <c r="T44" s="8">
        <f t="shared" si="8"/>
        <v>0</v>
      </c>
      <c r="U44" s="8">
        <f t="shared" si="7"/>
        <v>3.6883902684986765E-2</v>
      </c>
    </row>
    <row r="45" spans="1:21" x14ac:dyDescent="0.25">
      <c r="A45" s="5" t="s">
        <v>50</v>
      </c>
      <c r="B45" s="19">
        <v>4</v>
      </c>
      <c r="C45" s="19">
        <v>4</v>
      </c>
      <c r="D45" s="7">
        <f>_xlfn.XLOOKUP(A45,batch_final_timeline_by_case!A:A,batch_final_timeline_by_case!D:D,"")</f>
        <v>68.040000000000006</v>
      </c>
      <c r="E45" s="5">
        <f>_xlfn.XLOOKUP(A45,batch_final_timeline_by_case!A:A,batch_final_timeline_by_case!E:E,"")</f>
        <v>66.23</v>
      </c>
      <c r="F45" s="7">
        <f>_xlfn.XLOOKUP(A45,batch_final_timeline_by_case!A:A,batch_final_timeline_by_case!F:F,"")</f>
        <v>1.81</v>
      </c>
      <c r="G45" s="5">
        <f>_xlfn.XLOOKUP(A45,batch_final_timeline_by_case!A:A,batch_final_timeline_by_case!G:G,"")</f>
        <v>1</v>
      </c>
      <c r="H45" s="5">
        <f>_xlfn.XLOOKUP(A45,batch_final_timeline_by_case!A:A,batch_final_timeline_by_case!H:H,"")</f>
        <v>0</v>
      </c>
      <c r="I45" s="5">
        <f>_xlfn.XLOOKUP(A45,batch_final_timeline_by_case!A:A,batch_final_timeline_by_case!I:I,"")</f>
        <v>0</v>
      </c>
      <c r="J45" s="8">
        <f t="shared" si="2"/>
        <v>2.6601998824221044E-2</v>
      </c>
      <c r="K45">
        <f t="shared" si="3"/>
        <v>0</v>
      </c>
      <c r="L45">
        <f t="shared" si="4"/>
        <v>0</v>
      </c>
      <c r="M45">
        <f>_xlfn.XLOOKUP(A45,idle_time_ratio_summary!A:A,idle_time_ratio_summary!G:G,"")</f>
        <v>1</v>
      </c>
      <c r="N45">
        <f>_xlfn.XLOOKUP(A45,idle_time_ratio_summary!A:A,idle_time_ratio_summary!M:M,"")</f>
        <v>1</v>
      </c>
      <c r="O45">
        <f>_xlfn.XLOOKUP(A45,idle_time_ratio_summary!A:A,idle_time_ratio_summary!N:N,"")</f>
        <v>0</v>
      </c>
      <c r="P45" s="5" t="str">
        <f t="shared" si="9"/>
        <v>3-4</v>
      </c>
      <c r="Q45" s="5">
        <f t="shared" si="5"/>
        <v>4</v>
      </c>
      <c r="R45" s="5" t="str">
        <f t="shared" si="10"/>
        <v>4+</v>
      </c>
      <c r="S45" s="5">
        <f t="shared" si="6"/>
        <v>4</v>
      </c>
      <c r="T45" s="8">
        <f t="shared" si="8"/>
        <v>2.6601998824221044E-2</v>
      </c>
      <c r="U45" s="8">
        <f t="shared" si="7"/>
        <v>0</v>
      </c>
    </row>
    <row r="46" spans="1:21" x14ac:dyDescent="0.25">
      <c r="A46" s="5" t="s">
        <v>92</v>
      </c>
      <c r="B46" s="19">
        <v>5</v>
      </c>
      <c r="C46" s="19">
        <v>4</v>
      </c>
      <c r="D46" s="7">
        <f>_xlfn.XLOOKUP(A46,batch_final_timeline_by_case!A:A,batch_final_timeline_by_case!D:D,"")</f>
        <v>72.430000000000007</v>
      </c>
      <c r="E46" s="5">
        <f>_xlfn.XLOOKUP(A46,batch_final_timeline_by_case!A:A,batch_final_timeline_by_case!E:E,"")</f>
        <v>75.400000000000006</v>
      </c>
      <c r="F46" s="7">
        <f>_xlfn.XLOOKUP(A46,batch_final_timeline_by_case!A:A,batch_final_timeline_by_case!F:F,"")</f>
        <v>-2.97</v>
      </c>
      <c r="G46" s="5">
        <f>_xlfn.XLOOKUP(A46,batch_final_timeline_by_case!A:A,batch_final_timeline_by_case!G:G,"")</f>
        <v>0</v>
      </c>
      <c r="H46" s="5">
        <f>_xlfn.XLOOKUP(A46,batch_final_timeline_by_case!A:A,batch_final_timeline_by_case!H:H,"")</f>
        <v>1</v>
      </c>
      <c r="I46" s="5">
        <f>_xlfn.XLOOKUP(A46,batch_final_timeline_by_case!A:A,batch_final_timeline_by_case!I:I,"")</f>
        <v>0</v>
      </c>
      <c r="J46" s="8">
        <f t="shared" si="2"/>
        <v>4.1005108380505313E-2</v>
      </c>
      <c r="K46">
        <f t="shared" si="3"/>
        <v>0</v>
      </c>
      <c r="L46">
        <f t="shared" si="4"/>
        <v>0</v>
      </c>
      <c r="M46">
        <f>_xlfn.XLOOKUP(A46,idle_time_ratio_summary!A:A,idle_time_ratio_summary!G:G,"")</f>
        <v>0</v>
      </c>
      <c r="N46">
        <f>_xlfn.XLOOKUP(A46,idle_time_ratio_summary!A:A,idle_time_ratio_summary!M:M,"")</f>
        <v>0</v>
      </c>
      <c r="O46">
        <f>_xlfn.XLOOKUP(A46,idle_time_ratio_summary!A:A,idle_time_ratio_summary!N:N,"")</f>
        <v>0</v>
      </c>
      <c r="P46" s="5" t="str">
        <f t="shared" si="9"/>
        <v>5-7</v>
      </c>
      <c r="Q46" s="5">
        <f t="shared" si="5"/>
        <v>5</v>
      </c>
      <c r="R46" s="5" t="str">
        <f t="shared" si="10"/>
        <v>4+</v>
      </c>
      <c r="S46" s="5">
        <f t="shared" si="6"/>
        <v>4</v>
      </c>
      <c r="T46" s="8">
        <f t="shared" si="8"/>
        <v>0</v>
      </c>
      <c r="U46" s="8">
        <f t="shared" si="7"/>
        <v>3.9389920424403181E-2</v>
      </c>
    </row>
    <row r="47" spans="1:21" x14ac:dyDescent="0.25">
      <c r="A47" s="5" t="s">
        <v>42</v>
      </c>
      <c r="B47" s="19">
        <v>8</v>
      </c>
      <c r="C47" s="19">
        <v>4</v>
      </c>
      <c r="D47" s="7">
        <f>_xlfn.XLOOKUP(A47,batch_final_timeline_by_case!A:A,batch_final_timeline_by_case!D:D,"")</f>
        <v>82.843800000000002</v>
      </c>
      <c r="E47" s="5">
        <f>_xlfn.XLOOKUP(A47,batch_final_timeline_by_case!A:A,batch_final_timeline_by_case!E:E,"")</f>
        <v>86.18</v>
      </c>
      <c r="F47" s="7">
        <f>_xlfn.XLOOKUP(A47,batch_final_timeline_by_case!A:A,batch_final_timeline_by_case!F:F,"")</f>
        <v>-3.3361999999999998</v>
      </c>
      <c r="G47" s="5">
        <f>_xlfn.XLOOKUP(A47,batch_final_timeline_by_case!A:A,batch_final_timeline_by_case!G:G,"")</f>
        <v>0</v>
      </c>
      <c r="H47" s="5">
        <f>_xlfn.XLOOKUP(A47,batch_final_timeline_by_case!A:A,batch_final_timeline_by_case!H:H,"")</f>
        <v>1</v>
      </c>
      <c r="I47" s="5">
        <f>_xlfn.XLOOKUP(A47,batch_final_timeline_by_case!A:A,batch_final_timeline_by_case!I:I,"")</f>
        <v>0</v>
      </c>
      <c r="J47" s="8">
        <f t="shared" si="2"/>
        <v>4.0270967773086218E-2</v>
      </c>
      <c r="K47">
        <f t="shared" si="3"/>
        <v>0</v>
      </c>
      <c r="L47">
        <f t="shared" si="4"/>
        <v>0</v>
      </c>
      <c r="M47">
        <f>_xlfn.XLOOKUP(A47,idle_time_ratio_summary!A:A,idle_time_ratio_summary!G:G,"")</f>
        <v>0</v>
      </c>
      <c r="N47">
        <f>_xlfn.XLOOKUP(A47,idle_time_ratio_summary!A:A,idle_time_ratio_summary!M:M,"")</f>
        <v>1</v>
      </c>
      <c r="O47">
        <f>_xlfn.XLOOKUP(A47,idle_time_ratio_summary!A:A,idle_time_ratio_summary!N:N,"")</f>
        <v>1</v>
      </c>
      <c r="P47" s="5" t="str">
        <f t="shared" si="9"/>
        <v>8-11</v>
      </c>
      <c r="Q47" s="5">
        <f t="shared" si="5"/>
        <v>8</v>
      </c>
      <c r="R47" s="5" t="str">
        <f t="shared" si="10"/>
        <v>4+</v>
      </c>
      <c r="S47" s="5">
        <f t="shared" si="6"/>
        <v>4</v>
      </c>
      <c r="T47" s="8">
        <f t="shared" si="8"/>
        <v>0</v>
      </c>
      <c r="U47" s="8">
        <f t="shared" si="7"/>
        <v>3.8711998143420745E-2</v>
      </c>
    </row>
    <row r="48" spans="1:21" x14ac:dyDescent="0.25">
      <c r="A48" s="5" t="s">
        <v>65</v>
      </c>
      <c r="B48" s="19">
        <v>4</v>
      </c>
      <c r="C48" s="19">
        <v>4</v>
      </c>
      <c r="D48" s="7">
        <f>_xlfn.XLOOKUP(A48,batch_final_timeline_by_case!A:A,batch_final_timeline_by_case!D:D,"")</f>
        <v>69.53</v>
      </c>
      <c r="E48" s="5">
        <f>_xlfn.XLOOKUP(A48,batch_final_timeline_by_case!A:A,batch_final_timeline_by_case!E:E,"")</f>
        <v>72.61</v>
      </c>
      <c r="F48" s="7">
        <f>_xlfn.XLOOKUP(A48,batch_final_timeline_by_case!A:A,batch_final_timeline_by_case!F:F,"")</f>
        <v>-3.08</v>
      </c>
      <c r="G48" s="5">
        <f>_xlfn.XLOOKUP(A48,batch_final_timeline_by_case!A:A,batch_final_timeline_by_case!G:G,"")</f>
        <v>0</v>
      </c>
      <c r="H48" s="5">
        <f>_xlfn.XLOOKUP(A48,batch_final_timeline_by_case!A:A,batch_final_timeline_by_case!H:H,"")</f>
        <v>1</v>
      </c>
      <c r="I48" s="5">
        <f>_xlfn.XLOOKUP(A48,batch_final_timeline_by_case!A:A,batch_final_timeline_by_case!I:I,"")</f>
        <v>0</v>
      </c>
      <c r="J48" s="8">
        <f t="shared" si="2"/>
        <v>4.4297425571695671E-2</v>
      </c>
      <c r="K48">
        <f t="shared" si="3"/>
        <v>0</v>
      </c>
      <c r="L48">
        <f t="shared" si="4"/>
        <v>0</v>
      </c>
      <c r="M48">
        <f>_xlfn.XLOOKUP(A48,idle_time_ratio_summary!A:A,idle_time_ratio_summary!G:G,"")</f>
        <v>0</v>
      </c>
      <c r="N48">
        <f>_xlfn.XLOOKUP(A48,idle_time_ratio_summary!A:A,idle_time_ratio_summary!M:M,"")</f>
        <v>0</v>
      </c>
      <c r="O48">
        <f>_xlfn.XLOOKUP(A48,idle_time_ratio_summary!A:A,idle_time_ratio_summary!N:N,"")</f>
        <v>0</v>
      </c>
      <c r="P48" s="5" t="str">
        <f t="shared" si="9"/>
        <v>3-4</v>
      </c>
      <c r="Q48" s="5">
        <f t="shared" si="5"/>
        <v>4</v>
      </c>
      <c r="R48" s="5" t="str">
        <f t="shared" si="10"/>
        <v>4+</v>
      </c>
      <c r="S48" s="5">
        <f t="shared" si="6"/>
        <v>4</v>
      </c>
      <c r="T48" s="8">
        <f t="shared" si="8"/>
        <v>0</v>
      </c>
      <c r="U48" s="8">
        <f t="shared" si="7"/>
        <v>4.2418399669467019E-2</v>
      </c>
    </row>
    <row r="49" spans="1:21" x14ac:dyDescent="0.25">
      <c r="A49" s="5" t="s">
        <v>44</v>
      </c>
      <c r="B49" s="19">
        <v>11</v>
      </c>
      <c r="C49" s="19">
        <v>5</v>
      </c>
      <c r="D49" s="7">
        <f>_xlfn.XLOOKUP(A49,batch_final_timeline_by_case!A:A,batch_final_timeline_by_case!D:D,"")</f>
        <v>101.81</v>
      </c>
      <c r="E49" s="5">
        <f>_xlfn.XLOOKUP(A49,batch_final_timeline_by_case!A:A,batch_final_timeline_by_case!E:E,"")</f>
        <v>104.45</v>
      </c>
      <c r="F49" s="7">
        <f>_xlfn.XLOOKUP(A49,batch_final_timeline_by_case!A:A,batch_final_timeline_by_case!F:F,"")</f>
        <v>-2.64</v>
      </c>
      <c r="G49" s="5">
        <f>_xlfn.XLOOKUP(A49,batch_final_timeline_by_case!A:A,batch_final_timeline_by_case!G:G,"")</f>
        <v>0</v>
      </c>
      <c r="H49" s="5">
        <f>_xlfn.XLOOKUP(A49,batch_final_timeline_by_case!A:A,batch_final_timeline_by_case!H:H,"")</f>
        <v>1</v>
      </c>
      <c r="I49" s="5">
        <f>_xlfn.XLOOKUP(A49,batch_final_timeline_by_case!A:A,batch_final_timeline_by_case!I:I,"")</f>
        <v>0</v>
      </c>
      <c r="J49" s="8">
        <f t="shared" si="2"/>
        <v>2.5930655141931047E-2</v>
      </c>
      <c r="K49">
        <f t="shared" si="3"/>
        <v>0</v>
      </c>
      <c r="L49">
        <f t="shared" si="4"/>
        <v>0</v>
      </c>
      <c r="M49">
        <f>_xlfn.XLOOKUP(A49,idle_time_ratio_summary!A:A,idle_time_ratio_summary!G:G,"")</f>
        <v>0</v>
      </c>
      <c r="N49">
        <f>_xlfn.XLOOKUP(A49,idle_time_ratio_summary!A:A,idle_time_ratio_summary!M:M,"")</f>
        <v>0</v>
      </c>
      <c r="O49">
        <f>_xlfn.XLOOKUP(A49,idle_time_ratio_summary!A:A,idle_time_ratio_summary!N:N,"")</f>
        <v>0</v>
      </c>
      <c r="P49" s="5" t="str">
        <f t="shared" si="9"/>
        <v>8-11</v>
      </c>
      <c r="Q49" s="5">
        <f t="shared" si="5"/>
        <v>11</v>
      </c>
      <c r="R49" s="5" t="str">
        <f t="shared" si="10"/>
        <v>4+</v>
      </c>
      <c r="S49" s="5">
        <f t="shared" si="6"/>
        <v>5</v>
      </c>
      <c r="T49" s="8">
        <f t="shared" si="8"/>
        <v>0</v>
      </c>
      <c r="U49" s="8">
        <f t="shared" si="7"/>
        <v>2.5275251316419341E-2</v>
      </c>
    </row>
    <row r="50" spans="1:21" x14ac:dyDescent="0.25">
      <c r="A50" s="5" t="s">
        <v>49</v>
      </c>
      <c r="B50" s="19">
        <v>8</v>
      </c>
      <c r="C50" s="19">
        <v>5</v>
      </c>
      <c r="D50" s="7">
        <f>_xlfn.XLOOKUP(A50,batch_final_timeline_by_case!A:A,batch_final_timeline_by_case!D:D,"")</f>
        <v>74.343999999999994</v>
      </c>
      <c r="E50" s="5">
        <f>_xlfn.XLOOKUP(A50,batch_final_timeline_by_case!A:A,batch_final_timeline_by_case!E:E,"")</f>
        <v>72.09</v>
      </c>
      <c r="F50" s="7">
        <f>_xlfn.XLOOKUP(A50,batch_final_timeline_by_case!A:A,batch_final_timeline_by_case!F:F,"")</f>
        <v>2.254</v>
      </c>
      <c r="G50" s="5">
        <f>_xlfn.XLOOKUP(A50,batch_final_timeline_by_case!A:A,batch_final_timeline_by_case!G:G,"")</f>
        <v>1</v>
      </c>
      <c r="H50" s="5">
        <f>_xlfn.XLOOKUP(A50,batch_final_timeline_by_case!A:A,batch_final_timeline_by_case!H:H,"")</f>
        <v>0</v>
      </c>
      <c r="I50" s="5">
        <f>_xlfn.XLOOKUP(A50,batch_final_timeline_by_case!A:A,batch_final_timeline_by_case!I:I,"")</f>
        <v>0</v>
      </c>
      <c r="J50" s="8">
        <f t="shared" si="2"/>
        <v>3.0318519315613905E-2</v>
      </c>
      <c r="K50">
        <f t="shared" si="3"/>
        <v>0</v>
      </c>
      <c r="L50">
        <f t="shared" si="4"/>
        <v>0</v>
      </c>
      <c r="M50">
        <f>_xlfn.XLOOKUP(A50,idle_time_ratio_summary!A:A,idle_time_ratio_summary!G:G,"")</f>
        <v>0</v>
      </c>
      <c r="N50">
        <f>_xlfn.XLOOKUP(A50,idle_time_ratio_summary!A:A,idle_time_ratio_summary!M:M,"")</f>
        <v>1</v>
      </c>
      <c r="O50">
        <f>_xlfn.XLOOKUP(A50,idle_time_ratio_summary!A:A,idle_time_ratio_summary!N:N,"")</f>
        <v>0</v>
      </c>
      <c r="P50" s="5" t="str">
        <f t="shared" si="9"/>
        <v>8-11</v>
      </c>
      <c r="Q50" s="5">
        <f t="shared" si="5"/>
        <v>8</v>
      </c>
      <c r="R50" s="5" t="str">
        <f t="shared" si="10"/>
        <v>4+</v>
      </c>
      <c r="S50" s="5">
        <f t="shared" si="6"/>
        <v>5</v>
      </c>
      <c r="T50" s="8">
        <f t="shared" si="8"/>
        <v>3.0318519315613905E-2</v>
      </c>
      <c r="U50" s="8">
        <f t="shared" si="7"/>
        <v>0</v>
      </c>
    </row>
    <row r="51" spans="1:21" x14ac:dyDescent="0.25">
      <c r="A51" s="5" t="s">
        <v>61</v>
      </c>
      <c r="B51" s="19">
        <v>13</v>
      </c>
      <c r="C51" s="19">
        <v>5</v>
      </c>
      <c r="D51" s="7">
        <f>_xlfn.XLOOKUP(A51,batch_final_timeline_by_case!A:A,batch_final_timeline_by_case!D:D,"")</f>
        <v>105.09399999999999</v>
      </c>
      <c r="E51" s="5">
        <f>_xlfn.XLOOKUP(A51,batch_final_timeline_by_case!A:A,batch_final_timeline_by_case!E:E,"")</f>
        <v>102.61</v>
      </c>
      <c r="F51" s="7">
        <f>_xlfn.XLOOKUP(A51,batch_final_timeline_by_case!A:A,batch_final_timeline_by_case!F:F,"")</f>
        <v>2.484</v>
      </c>
      <c r="G51" s="5">
        <f>_xlfn.XLOOKUP(A51,batch_final_timeline_by_case!A:A,batch_final_timeline_by_case!G:G,"")</f>
        <v>1</v>
      </c>
      <c r="H51" s="5">
        <f>_xlfn.XLOOKUP(A51,batch_final_timeline_by_case!A:A,batch_final_timeline_by_case!H:H,"")</f>
        <v>0</v>
      </c>
      <c r="I51" s="5">
        <f>_xlfn.XLOOKUP(A51,batch_final_timeline_by_case!A:A,batch_final_timeline_by_case!I:I,"")</f>
        <v>0</v>
      </c>
      <c r="J51" s="8">
        <f t="shared" si="2"/>
        <v>2.3635983024720728E-2</v>
      </c>
      <c r="K51">
        <f t="shared" si="3"/>
        <v>0</v>
      </c>
      <c r="L51">
        <f t="shared" si="4"/>
        <v>0</v>
      </c>
      <c r="M51">
        <f>_xlfn.XLOOKUP(A51,idle_time_ratio_summary!A:A,idle_time_ratio_summary!G:G,"")</f>
        <v>0</v>
      </c>
      <c r="N51">
        <f>_xlfn.XLOOKUP(A51,idle_time_ratio_summary!A:A,idle_time_ratio_summary!M:M,"")</f>
        <v>1</v>
      </c>
      <c r="O51">
        <f>_xlfn.XLOOKUP(A51,idle_time_ratio_summary!A:A,idle_time_ratio_summary!N:N,"")</f>
        <v>1</v>
      </c>
      <c r="P51" s="5" t="str">
        <f t="shared" si="9"/>
        <v>12+</v>
      </c>
      <c r="Q51" s="5" t="str">
        <f t="shared" si="5"/>
        <v>12-19</v>
      </c>
      <c r="R51" s="5" t="str">
        <f t="shared" si="10"/>
        <v>4+</v>
      </c>
      <c r="S51" s="5">
        <f t="shared" si="6"/>
        <v>5</v>
      </c>
      <c r="T51" s="8">
        <f t="shared" si="8"/>
        <v>2.3635983024720728E-2</v>
      </c>
      <c r="U51" s="8">
        <f t="shared" si="7"/>
        <v>0</v>
      </c>
    </row>
    <row r="52" spans="1:21" x14ac:dyDescent="0.25">
      <c r="A52" s="5" t="s">
        <v>56</v>
      </c>
      <c r="B52" s="19">
        <v>11</v>
      </c>
      <c r="C52" s="19">
        <v>5</v>
      </c>
      <c r="D52" s="7">
        <f>_xlfn.XLOOKUP(A52,batch_final_timeline_by_case!A:A,batch_final_timeline_by_case!D:D,"")</f>
        <v>105.381</v>
      </c>
      <c r="E52" s="5">
        <f>_xlfn.XLOOKUP(A52,batch_final_timeline_by_case!A:A,batch_final_timeline_by_case!E:E,"")</f>
        <v>97.04</v>
      </c>
      <c r="F52" s="7">
        <f>_xlfn.XLOOKUP(A52,batch_final_timeline_by_case!A:A,batch_final_timeline_by_case!F:F,"")</f>
        <v>8.3409999999999993</v>
      </c>
      <c r="G52" s="5">
        <f>_xlfn.XLOOKUP(A52,batch_final_timeline_by_case!A:A,batch_final_timeline_by_case!G:G,"")</f>
        <v>1</v>
      </c>
      <c r="H52" s="5">
        <f>_xlfn.XLOOKUP(A52,batch_final_timeline_by_case!A:A,batch_final_timeline_by_case!H:H,"")</f>
        <v>0</v>
      </c>
      <c r="I52" s="5">
        <f>_xlfn.XLOOKUP(A52,batch_final_timeline_by_case!A:A,batch_final_timeline_by_case!I:I,"")</f>
        <v>0</v>
      </c>
      <c r="J52" s="8">
        <f t="shared" si="2"/>
        <v>7.9150890577997929E-2</v>
      </c>
      <c r="K52">
        <f t="shared" si="3"/>
        <v>1</v>
      </c>
      <c r="L52">
        <f t="shared" si="4"/>
        <v>1</v>
      </c>
      <c r="M52">
        <f>_xlfn.XLOOKUP(A52,idle_time_ratio_summary!A:A,idle_time_ratio_summary!G:G,"")</f>
        <v>0</v>
      </c>
      <c r="N52">
        <f>_xlfn.XLOOKUP(A52,idle_time_ratio_summary!A:A,idle_time_ratio_summary!M:M,"")</f>
        <v>1</v>
      </c>
      <c r="O52">
        <f>_xlfn.XLOOKUP(A52,idle_time_ratio_summary!A:A,idle_time_ratio_summary!N:N,"")</f>
        <v>1</v>
      </c>
      <c r="P52" s="5" t="str">
        <f t="shared" si="9"/>
        <v>8-11</v>
      </c>
      <c r="Q52" s="5">
        <f t="shared" si="5"/>
        <v>11</v>
      </c>
      <c r="R52" s="5" t="str">
        <f t="shared" si="10"/>
        <v>4+</v>
      </c>
      <c r="S52" s="5">
        <f t="shared" si="6"/>
        <v>5</v>
      </c>
      <c r="T52" s="8">
        <f t="shared" si="8"/>
        <v>7.9150890577997929E-2</v>
      </c>
      <c r="U52" s="8">
        <f t="shared" si="7"/>
        <v>0</v>
      </c>
    </row>
    <row r="53" spans="1:21" x14ac:dyDescent="0.25">
      <c r="A53" s="5" t="s">
        <v>60</v>
      </c>
      <c r="B53" s="19">
        <v>12</v>
      </c>
      <c r="C53" s="19">
        <v>5</v>
      </c>
      <c r="D53" s="7">
        <f>_xlfn.XLOOKUP(A53,batch_final_timeline_by_case!A:A,batch_final_timeline_by_case!D:D,"")</f>
        <v>99.857600000000005</v>
      </c>
      <c r="E53" s="5">
        <f>_xlfn.XLOOKUP(A53,batch_final_timeline_by_case!A:A,batch_final_timeline_by_case!E:E,"")</f>
        <v>98.95</v>
      </c>
      <c r="F53" s="7">
        <f>_xlfn.XLOOKUP(A53,batch_final_timeline_by_case!A:A,batch_final_timeline_by_case!F:F,"")</f>
        <v>0.90759999999999996</v>
      </c>
      <c r="G53" s="5">
        <f>_xlfn.XLOOKUP(A53,batch_final_timeline_by_case!A:A,batch_final_timeline_by_case!G:G,"")</f>
        <v>1</v>
      </c>
      <c r="H53" s="5">
        <f>_xlfn.XLOOKUP(A53,batch_final_timeline_by_case!A:A,batch_final_timeline_by_case!H:H,"")</f>
        <v>0</v>
      </c>
      <c r="I53" s="5">
        <f>_xlfn.XLOOKUP(A53,batch_final_timeline_by_case!A:A,batch_final_timeline_by_case!I:I,"")</f>
        <v>0</v>
      </c>
      <c r="J53" s="8">
        <f t="shared" si="2"/>
        <v>9.0889426543397794E-3</v>
      </c>
      <c r="K53">
        <f t="shared" si="3"/>
        <v>0</v>
      </c>
      <c r="L53">
        <f t="shared" si="4"/>
        <v>0</v>
      </c>
      <c r="M53">
        <f>_xlfn.XLOOKUP(A53,idle_time_ratio_summary!A:A,idle_time_ratio_summary!G:G,"")</f>
        <v>0</v>
      </c>
      <c r="N53">
        <f>_xlfn.XLOOKUP(A53,idle_time_ratio_summary!A:A,idle_time_ratio_summary!M:M,"")</f>
        <v>1</v>
      </c>
      <c r="O53">
        <f>_xlfn.XLOOKUP(A53,idle_time_ratio_summary!A:A,idle_time_ratio_summary!N:N,"")</f>
        <v>1</v>
      </c>
      <c r="P53" s="5" t="str">
        <f t="shared" si="9"/>
        <v>12+</v>
      </c>
      <c r="Q53" s="5" t="str">
        <f t="shared" si="5"/>
        <v>12-19</v>
      </c>
      <c r="R53" s="5" t="str">
        <f t="shared" si="10"/>
        <v>4+</v>
      </c>
      <c r="S53" s="5">
        <f t="shared" si="6"/>
        <v>5</v>
      </c>
      <c r="T53" s="8">
        <f t="shared" si="8"/>
        <v>9.0889426543397794E-3</v>
      </c>
      <c r="U53" s="8">
        <f t="shared" si="7"/>
        <v>0</v>
      </c>
    </row>
    <row r="54" spans="1:21" x14ac:dyDescent="0.25">
      <c r="A54" s="5" t="s">
        <v>23</v>
      </c>
      <c r="B54" s="19">
        <v>9</v>
      </c>
      <c r="C54" s="19">
        <v>5</v>
      </c>
      <c r="D54" s="7">
        <f>_xlfn.XLOOKUP(A54,batch_final_timeline_by_case!A:A,batch_final_timeline_by_case!D:D,"")</f>
        <v>80.483999999999995</v>
      </c>
      <c r="E54" s="5">
        <f>_xlfn.XLOOKUP(A54,batch_final_timeline_by_case!A:A,batch_final_timeline_by_case!E:E,"")</f>
        <v>73.739999999999995</v>
      </c>
      <c r="F54" s="7">
        <f>_xlfn.XLOOKUP(A54,batch_final_timeline_by_case!A:A,batch_final_timeline_by_case!F:F,"")</f>
        <v>6.7439999999999998</v>
      </c>
      <c r="G54" s="5">
        <f>_xlfn.XLOOKUP(A54,batch_final_timeline_by_case!A:A,batch_final_timeline_by_case!G:G,"")</f>
        <v>1</v>
      </c>
      <c r="H54" s="5">
        <f>_xlfn.XLOOKUP(A54,batch_final_timeline_by_case!A:A,batch_final_timeline_by_case!H:H,"")</f>
        <v>0</v>
      </c>
      <c r="I54" s="5">
        <f>_xlfn.XLOOKUP(A54,batch_final_timeline_by_case!A:A,batch_final_timeline_by_case!I:I,"")</f>
        <v>0</v>
      </c>
      <c r="J54" s="8">
        <f t="shared" si="2"/>
        <v>8.3793052035187124E-2</v>
      </c>
      <c r="K54">
        <f t="shared" si="3"/>
        <v>1</v>
      </c>
      <c r="L54">
        <f t="shared" si="4"/>
        <v>1</v>
      </c>
      <c r="M54">
        <f>_xlfn.XLOOKUP(A54,idle_time_ratio_summary!A:A,idle_time_ratio_summary!G:G,"")</f>
        <v>0</v>
      </c>
      <c r="N54">
        <f>_xlfn.XLOOKUP(A54,idle_time_ratio_summary!A:A,idle_time_ratio_summary!M:M,"")</f>
        <v>1</v>
      </c>
      <c r="O54">
        <f>_xlfn.XLOOKUP(A54,idle_time_ratio_summary!A:A,idle_time_ratio_summary!N:N,"")</f>
        <v>1</v>
      </c>
      <c r="P54" s="5" t="str">
        <f t="shared" si="9"/>
        <v>8-11</v>
      </c>
      <c r="Q54" s="5">
        <f t="shared" si="5"/>
        <v>9</v>
      </c>
      <c r="R54" s="5" t="str">
        <f t="shared" si="10"/>
        <v>4+</v>
      </c>
      <c r="S54" s="5">
        <f t="shared" si="6"/>
        <v>5</v>
      </c>
      <c r="T54" s="8">
        <f t="shared" si="8"/>
        <v>8.3793052035187124E-2</v>
      </c>
      <c r="U54" s="8">
        <f t="shared" si="7"/>
        <v>0</v>
      </c>
    </row>
    <row r="55" spans="1:21" x14ac:dyDescent="0.25">
      <c r="A55" s="5" t="s">
        <v>93</v>
      </c>
      <c r="B55" s="19">
        <v>6</v>
      </c>
      <c r="C55" s="19">
        <v>5</v>
      </c>
      <c r="D55" s="7">
        <f>_xlfn.XLOOKUP(A55,batch_final_timeline_by_case!A:A,batch_final_timeline_by_case!D:D,"")</f>
        <v>70.16</v>
      </c>
      <c r="E55" s="5">
        <f>_xlfn.XLOOKUP(A55,batch_final_timeline_by_case!A:A,batch_final_timeline_by_case!E:E,"")</f>
        <v>71.03</v>
      </c>
      <c r="F55" s="7">
        <f>_xlfn.XLOOKUP(A55,batch_final_timeline_by_case!A:A,batch_final_timeline_by_case!F:F,"")</f>
        <v>-0.87</v>
      </c>
      <c r="G55" s="5">
        <f>_xlfn.XLOOKUP(A55,batch_final_timeline_by_case!A:A,batch_final_timeline_by_case!G:G,"")</f>
        <v>0</v>
      </c>
      <c r="H55" s="5">
        <f>_xlfn.XLOOKUP(A55,batch_final_timeline_by_case!A:A,batch_final_timeline_by_case!H:H,"")</f>
        <v>1</v>
      </c>
      <c r="I55" s="5">
        <f>_xlfn.XLOOKUP(A55,batch_final_timeline_by_case!A:A,batch_final_timeline_by_case!I:I,"")</f>
        <v>0</v>
      </c>
      <c r="J55" s="8">
        <f t="shared" si="2"/>
        <v>1.2400228050171038E-2</v>
      </c>
      <c r="K55">
        <f t="shared" si="3"/>
        <v>0</v>
      </c>
      <c r="L55">
        <f t="shared" si="4"/>
        <v>0</v>
      </c>
      <c r="M55">
        <f>_xlfn.XLOOKUP(A55,idle_time_ratio_summary!A:A,idle_time_ratio_summary!G:G,"")</f>
        <v>0</v>
      </c>
      <c r="N55">
        <f>_xlfn.XLOOKUP(A55,idle_time_ratio_summary!A:A,idle_time_ratio_summary!M:M,"")</f>
        <v>0</v>
      </c>
      <c r="O55">
        <f>_xlfn.XLOOKUP(A55,idle_time_ratio_summary!A:A,idle_time_ratio_summary!N:N,"")</f>
        <v>0</v>
      </c>
      <c r="P55" s="5" t="str">
        <f t="shared" si="9"/>
        <v>5-7</v>
      </c>
      <c r="Q55" s="5">
        <f t="shared" si="5"/>
        <v>6</v>
      </c>
      <c r="R55" s="5" t="str">
        <f t="shared" si="10"/>
        <v>4+</v>
      </c>
      <c r="S55" s="5">
        <f t="shared" si="6"/>
        <v>5</v>
      </c>
      <c r="T55" s="8">
        <f t="shared" si="8"/>
        <v>0</v>
      </c>
      <c r="U55" s="8">
        <f t="shared" si="7"/>
        <v>1.2248345769393213E-2</v>
      </c>
    </row>
    <row r="56" spans="1:21" x14ac:dyDescent="0.25">
      <c r="A56" s="5" t="s">
        <v>41</v>
      </c>
      <c r="B56" s="19">
        <v>10</v>
      </c>
      <c r="C56" s="19">
        <v>5</v>
      </c>
      <c r="D56" s="7">
        <f>_xlfn.XLOOKUP(A56,batch_final_timeline_by_case!A:A,batch_final_timeline_by_case!D:D,"")</f>
        <v>85.989199999999997</v>
      </c>
      <c r="E56" s="5">
        <f>_xlfn.XLOOKUP(A56,batch_final_timeline_by_case!A:A,batch_final_timeline_by_case!E:E,"")</f>
        <v>85.88</v>
      </c>
      <c r="F56" s="7">
        <f>_xlfn.XLOOKUP(A56,batch_final_timeline_by_case!A:A,batch_final_timeline_by_case!F:F,"")</f>
        <v>0.10920000000000001</v>
      </c>
      <c r="G56" s="5">
        <f>_xlfn.XLOOKUP(A56,batch_final_timeline_by_case!A:A,batch_final_timeline_by_case!G:G,"")</f>
        <v>1</v>
      </c>
      <c r="H56" s="5">
        <f>_xlfn.XLOOKUP(A56,batch_final_timeline_by_case!A:A,batch_final_timeline_by_case!H:H,"")</f>
        <v>0</v>
      </c>
      <c r="I56" s="5">
        <f>_xlfn.XLOOKUP(A56,batch_final_timeline_by_case!A:A,batch_final_timeline_by_case!I:I,"")</f>
        <v>0</v>
      </c>
      <c r="J56" s="8">
        <f t="shared" si="2"/>
        <v>1.2699269210552024E-3</v>
      </c>
      <c r="K56">
        <f t="shared" si="3"/>
        <v>0</v>
      </c>
      <c r="L56">
        <f t="shared" si="4"/>
        <v>0</v>
      </c>
      <c r="M56">
        <f>_xlfn.XLOOKUP(A56,idle_time_ratio_summary!A:A,idle_time_ratio_summary!G:G,"")</f>
        <v>0</v>
      </c>
      <c r="N56">
        <f>_xlfn.XLOOKUP(A56,idle_time_ratio_summary!A:A,idle_time_ratio_summary!M:M,"")</f>
        <v>1</v>
      </c>
      <c r="O56">
        <f>_xlfn.XLOOKUP(A56,idle_time_ratio_summary!A:A,idle_time_ratio_summary!N:N,"")</f>
        <v>1</v>
      </c>
      <c r="P56" s="5" t="str">
        <f t="shared" si="9"/>
        <v>8-11</v>
      </c>
      <c r="Q56" s="5">
        <f t="shared" si="5"/>
        <v>10</v>
      </c>
      <c r="R56" s="5" t="str">
        <f t="shared" si="10"/>
        <v>4+</v>
      </c>
      <c r="S56" s="5">
        <f t="shared" si="6"/>
        <v>5</v>
      </c>
      <c r="T56" s="8">
        <f t="shared" si="8"/>
        <v>1.2699269210552024E-3</v>
      </c>
      <c r="U56" s="8">
        <f t="shared" si="7"/>
        <v>0</v>
      </c>
    </row>
    <row r="57" spans="1:21" x14ac:dyDescent="0.25">
      <c r="A57" s="5" t="s">
        <v>47</v>
      </c>
      <c r="B57" s="19">
        <v>11</v>
      </c>
      <c r="C57" s="19">
        <v>6</v>
      </c>
      <c r="D57" s="7">
        <f>_xlfn.XLOOKUP(A57,batch_final_timeline_by_case!A:A,batch_final_timeline_by_case!D:D,"")</f>
        <v>82.45</v>
      </c>
      <c r="E57" s="5">
        <f>_xlfn.XLOOKUP(A57,batch_final_timeline_by_case!A:A,batch_final_timeline_by_case!E:E,"")</f>
        <v>84.02</v>
      </c>
      <c r="F57" s="7">
        <f>_xlfn.XLOOKUP(A57,batch_final_timeline_by_case!A:A,batch_final_timeline_by_case!F:F,"")</f>
        <v>-1.57</v>
      </c>
      <c r="G57" s="5">
        <f>_xlfn.XLOOKUP(A57,batch_final_timeline_by_case!A:A,batch_final_timeline_by_case!G:G,"")</f>
        <v>0</v>
      </c>
      <c r="H57" s="5">
        <f>_xlfn.XLOOKUP(A57,batch_final_timeline_by_case!A:A,batch_final_timeline_by_case!H:H,"")</f>
        <v>1</v>
      </c>
      <c r="I57" s="5">
        <f>_xlfn.XLOOKUP(A57,batch_final_timeline_by_case!A:A,batch_final_timeline_by_case!I:I,"")</f>
        <v>0</v>
      </c>
      <c r="J57" s="8">
        <f t="shared" si="2"/>
        <v>1.9041843541540329E-2</v>
      </c>
      <c r="K57">
        <f t="shared" si="3"/>
        <v>0</v>
      </c>
      <c r="L57">
        <f t="shared" si="4"/>
        <v>0</v>
      </c>
      <c r="M57">
        <f>_xlfn.XLOOKUP(A57,idle_time_ratio_summary!A:A,idle_time_ratio_summary!G:G,"")</f>
        <v>0</v>
      </c>
      <c r="N57">
        <f>_xlfn.XLOOKUP(A57,idle_time_ratio_summary!A:A,idle_time_ratio_summary!M:M,"")</f>
        <v>0</v>
      </c>
      <c r="O57">
        <f>_xlfn.XLOOKUP(A57,idle_time_ratio_summary!A:A,idle_time_ratio_summary!N:N,"")</f>
        <v>0</v>
      </c>
      <c r="P57" s="5" t="str">
        <f t="shared" si="9"/>
        <v>8-11</v>
      </c>
      <c r="Q57" s="5">
        <f t="shared" si="5"/>
        <v>11</v>
      </c>
      <c r="R57" s="5" t="str">
        <f t="shared" si="10"/>
        <v>4+</v>
      </c>
      <c r="S57" s="5">
        <f t="shared" si="6"/>
        <v>6</v>
      </c>
      <c r="T57" s="8">
        <f t="shared" si="8"/>
        <v>0</v>
      </c>
      <c r="U57" s="8">
        <f t="shared" si="7"/>
        <v>1.8686027136396097E-2</v>
      </c>
    </row>
    <row r="58" spans="1:21" x14ac:dyDescent="0.25">
      <c r="A58" s="5" t="s">
        <v>90</v>
      </c>
      <c r="B58" s="19">
        <v>10</v>
      </c>
      <c r="C58" s="19">
        <v>6</v>
      </c>
      <c r="D58" s="7">
        <f>_xlfn.XLOOKUP(A58,batch_final_timeline_by_case!A:A,batch_final_timeline_by_case!D:D,"")</f>
        <v>81.25</v>
      </c>
      <c r="E58" s="5">
        <f>_xlfn.XLOOKUP(A58,batch_final_timeline_by_case!A:A,batch_final_timeline_by_case!E:E,"")</f>
        <v>82.63</v>
      </c>
      <c r="F58" s="7">
        <f>_xlfn.XLOOKUP(A58,batch_final_timeline_by_case!A:A,batch_final_timeline_by_case!F:F,"")</f>
        <v>-1.38</v>
      </c>
      <c r="G58" s="5">
        <f>_xlfn.XLOOKUP(A58,batch_final_timeline_by_case!A:A,batch_final_timeline_by_case!G:G,"")</f>
        <v>0</v>
      </c>
      <c r="H58" s="5">
        <f>_xlfn.XLOOKUP(A58,batch_final_timeline_by_case!A:A,batch_final_timeline_by_case!H:H,"")</f>
        <v>1</v>
      </c>
      <c r="I58" s="5">
        <f>_xlfn.XLOOKUP(A58,batch_final_timeline_by_case!A:A,batch_final_timeline_by_case!I:I,"")</f>
        <v>0</v>
      </c>
      <c r="J58" s="8">
        <f t="shared" si="2"/>
        <v>1.6984615384615383E-2</v>
      </c>
      <c r="K58">
        <f t="shared" si="3"/>
        <v>0</v>
      </c>
      <c r="L58">
        <f t="shared" si="4"/>
        <v>0</v>
      </c>
      <c r="M58">
        <f>_xlfn.XLOOKUP(A58,idle_time_ratio_summary!A:A,idle_time_ratio_summary!G:G,"")</f>
        <v>0</v>
      </c>
      <c r="N58">
        <f>_xlfn.XLOOKUP(A58,idle_time_ratio_summary!A:A,idle_time_ratio_summary!M:M,"")</f>
        <v>0</v>
      </c>
      <c r="O58">
        <f>_xlfn.XLOOKUP(A58,idle_time_ratio_summary!A:A,idle_time_ratio_summary!N:N,"")</f>
        <v>0</v>
      </c>
      <c r="P58" s="5" t="str">
        <f t="shared" si="9"/>
        <v>8-11</v>
      </c>
      <c r="Q58" s="5">
        <f t="shared" si="5"/>
        <v>10</v>
      </c>
      <c r="R58" s="5" t="str">
        <f t="shared" si="10"/>
        <v>4+</v>
      </c>
      <c r="S58" s="5">
        <f t="shared" si="6"/>
        <v>6</v>
      </c>
      <c r="T58" s="8">
        <f t="shared" si="8"/>
        <v>0</v>
      </c>
      <c r="U58" s="8">
        <f t="shared" si="7"/>
        <v>1.6700956069224251E-2</v>
      </c>
    </row>
    <row r="59" spans="1:21" x14ac:dyDescent="0.25">
      <c r="A59" s="5" t="s">
        <v>32</v>
      </c>
      <c r="B59" s="19">
        <v>10</v>
      </c>
      <c r="C59" s="19">
        <v>6</v>
      </c>
      <c r="D59" s="7">
        <f>_xlfn.XLOOKUP(A59,batch_final_timeline_by_case!A:A,batch_final_timeline_by_case!D:D,"")</f>
        <v>84.313800000000001</v>
      </c>
      <c r="E59" s="5">
        <f>_xlfn.XLOOKUP(A59,batch_final_timeline_by_case!A:A,batch_final_timeline_by_case!E:E,"")</f>
        <v>84.27</v>
      </c>
      <c r="F59" s="7">
        <f>_xlfn.XLOOKUP(A59,batch_final_timeline_by_case!A:A,batch_final_timeline_by_case!F:F,"")</f>
        <v>4.3799999999999999E-2</v>
      </c>
      <c r="G59" s="5">
        <f>_xlfn.XLOOKUP(A59,batch_final_timeline_by_case!A:A,batch_final_timeline_by_case!G:G,"")</f>
        <v>1</v>
      </c>
      <c r="H59" s="5">
        <f>_xlfn.XLOOKUP(A59,batch_final_timeline_by_case!A:A,batch_final_timeline_by_case!H:H,"")</f>
        <v>0</v>
      </c>
      <c r="I59" s="5">
        <f>_xlfn.XLOOKUP(A59,batch_final_timeline_by_case!A:A,batch_final_timeline_by_case!I:I,"")</f>
        <v>0</v>
      </c>
      <c r="J59" s="8">
        <f t="shared" si="2"/>
        <v>5.194879130106815E-4</v>
      </c>
      <c r="K59">
        <f t="shared" si="3"/>
        <v>0</v>
      </c>
      <c r="L59">
        <f t="shared" si="4"/>
        <v>0</v>
      </c>
      <c r="M59">
        <f>_xlfn.XLOOKUP(A59,idle_time_ratio_summary!A:A,idle_time_ratio_summary!G:G,"")</f>
        <v>0</v>
      </c>
      <c r="N59">
        <f>_xlfn.XLOOKUP(A59,idle_time_ratio_summary!A:A,idle_time_ratio_summary!M:M,"")</f>
        <v>1</v>
      </c>
      <c r="O59">
        <f>_xlfn.XLOOKUP(A59,idle_time_ratio_summary!A:A,idle_time_ratio_summary!N:N,"")</f>
        <v>1</v>
      </c>
      <c r="P59" s="5" t="str">
        <f t="shared" si="9"/>
        <v>8-11</v>
      </c>
      <c r="Q59" s="5">
        <f t="shared" si="5"/>
        <v>10</v>
      </c>
      <c r="R59" s="5" t="str">
        <f t="shared" si="10"/>
        <v>4+</v>
      </c>
      <c r="S59" s="5">
        <f t="shared" si="6"/>
        <v>6</v>
      </c>
      <c r="T59" s="8">
        <f t="shared" si="8"/>
        <v>5.194879130106815E-4</v>
      </c>
      <c r="U59" s="8">
        <f t="shared" si="7"/>
        <v>0</v>
      </c>
    </row>
    <row r="60" spans="1:21" x14ac:dyDescent="0.25">
      <c r="A60" s="5" t="s">
        <v>54</v>
      </c>
      <c r="B60" s="19">
        <v>11</v>
      </c>
      <c r="C60" s="19">
        <v>6</v>
      </c>
      <c r="D60" s="7">
        <f>_xlfn.XLOOKUP(A60,batch_final_timeline_by_case!A:A,batch_final_timeline_by_case!D:D,"")</f>
        <v>101.0378</v>
      </c>
      <c r="E60" s="5">
        <f>_xlfn.XLOOKUP(A60,batch_final_timeline_by_case!A:A,batch_final_timeline_by_case!E:E,"")</f>
        <v>99.62</v>
      </c>
      <c r="F60" s="7">
        <f>_xlfn.XLOOKUP(A60,batch_final_timeline_by_case!A:A,batch_final_timeline_by_case!F:F,"")</f>
        <v>1.4177999999999999</v>
      </c>
      <c r="G60" s="5">
        <f>_xlfn.XLOOKUP(A60,batch_final_timeline_by_case!A:A,batch_final_timeline_by_case!G:G,"")</f>
        <v>1</v>
      </c>
      <c r="H60" s="5">
        <f>_xlfn.XLOOKUP(A60,batch_final_timeline_by_case!A:A,batch_final_timeline_by_case!H:H,"")</f>
        <v>0</v>
      </c>
      <c r="I60" s="5">
        <f>_xlfn.XLOOKUP(A60,batch_final_timeline_by_case!A:A,batch_final_timeline_by_case!I:I,"")</f>
        <v>0</v>
      </c>
      <c r="J60" s="8">
        <f t="shared" si="2"/>
        <v>1.4032372042938385E-2</v>
      </c>
      <c r="K60">
        <f t="shared" si="3"/>
        <v>0</v>
      </c>
      <c r="L60">
        <f t="shared" si="4"/>
        <v>0</v>
      </c>
      <c r="M60">
        <f>_xlfn.XLOOKUP(A60,idle_time_ratio_summary!A:A,idle_time_ratio_summary!G:G,"")</f>
        <v>0</v>
      </c>
      <c r="N60">
        <f>_xlfn.XLOOKUP(A60,idle_time_ratio_summary!A:A,idle_time_ratio_summary!M:M,"")</f>
        <v>1</v>
      </c>
      <c r="O60">
        <f>_xlfn.XLOOKUP(A60,idle_time_ratio_summary!A:A,idle_time_ratio_summary!N:N,"")</f>
        <v>1</v>
      </c>
      <c r="P60" s="5" t="str">
        <f t="shared" si="9"/>
        <v>8-11</v>
      </c>
      <c r="Q60" s="5">
        <f t="shared" si="5"/>
        <v>11</v>
      </c>
      <c r="R60" s="5" t="str">
        <f t="shared" si="10"/>
        <v>4+</v>
      </c>
      <c r="S60" s="5">
        <f t="shared" si="6"/>
        <v>6</v>
      </c>
      <c r="T60" s="8">
        <f t="shared" si="8"/>
        <v>1.4032372042938385E-2</v>
      </c>
      <c r="U60" s="8">
        <f t="shared" si="7"/>
        <v>0</v>
      </c>
    </row>
    <row r="61" spans="1:21" x14ac:dyDescent="0.25">
      <c r="A61" s="5" t="s">
        <v>74</v>
      </c>
      <c r="B61" s="19">
        <v>7</v>
      </c>
      <c r="C61" s="19">
        <v>6</v>
      </c>
      <c r="D61" s="7">
        <f>_xlfn.XLOOKUP(A61,batch_final_timeline_by_case!A:A,batch_final_timeline_by_case!D:D,"")</f>
        <v>73.947800000000001</v>
      </c>
      <c r="E61" s="5">
        <f>_xlfn.XLOOKUP(A61,batch_final_timeline_by_case!A:A,batch_final_timeline_by_case!E:E,"")</f>
        <v>67.599999999999994</v>
      </c>
      <c r="F61" s="7">
        <f>_xlfn.XLOOKUP(A61,batch_final_timeline_by_case!A:A,batch_final_timeline_by_case!F:F,"")</f>
        <v>6.3478000000000003</v>
      </c>
      <c r="G61" s="5">
        <f>_xlfn.XLOOKUP(A61,batch_final_timeline_by_case!A:A,batch_final_timeline_by_case!G:G,"")</f>
        <v>1</v>
      </c>
      <c r="H61" s="5">
        <f>_xlfn.XLOOKUP(A61,batch_final_timeline_by_case!A:A,batch_final_timeline_by_case!H:H,"")</f>
        <v>0</v>
      </c>
      <c r="I61" s="5">
        <f>_xlfn.XLOOKUP(A61,batch_final_timeline_by_case!A:A,batch_final_timeline_by_case!I:I,"")</f>
        <v>0</v>
      </c>
      <c r="J61" s="8">
        <f t="shared" si="2"/>
        <v>8.58416342338785E-2</v>
      </c>
      <c r="K61">
        <f t="shared" si="3"/>
        <v>1</v>
      </c>
      <c r="L61">
        <f t="shared" si="4"/>
        <v>1</v>
      </c>
      <c r="M61">
        <f>_xlfn.XLOOKUP(A61,idle_time_ratio_summary!A:A,idle_time_ratio_summary!G:G,"")</f>
        <v>0</v>
      </c>
      <c r="N61">
        <f>_xlfn.XLOOKUP(A61,idle_time_ratio_summary!A:A,idle_time_ratio_summary!M:M,"")</f>
        <v>1</v>
      </c>
      <c r="O61">
        <f>_xlfn.XLOOKUP(A61,idle_time_ratio_summary!A:A,idle_time_ratio_summary!N:N,"")</f>
        <v>1</v>
      </c>
      <c r="P61" s="5" t="str">
        <f t="shared" si="9"/>
        <v>5-7</v>
      </c>
      <c r="Q61" s="5">
        <f t="shared" si="5"/>
        <v>7</v>
      </c>
      <c r="R61" s="5" t="str">
        <f t="shared" si="10"/>
        <v>4+</v>
      </c>
      <c r="S61" s="5">
        <f t="shared" si="6"/>
        <v>6</v>
      </c>
      <c r="T61" s="8">
        <f t="shared" si="8"/>
        <v>8.58416342338785E-2</v>
      </c>
      <c r="U61" s="8">
        <f t="shared" si="7"/>
        <v>0</v>
      </c>
    </row>
    <row r="62" spans="1:21" x14ac:dyDescent="0.25">
      <c r="A62" s="5" t="s">
        <v>31</v>
      </c>
      <c r="B62" s="19">
        <v>11</v>
      </c>
      <c r="C62" s="19">
        <v>6</v>
      </c>
      <c r="D62" s="7">
        <f>_xlfn.XLOOKUP(A62,batch_final_timeline_by_case!A:A,batch_final_timeline_by_case!D:D,"")</f>
        <v>95.521600000000007</v>
      </c>
      <c r="E62" s="5">
        <f>_xlfn.XLOOKUP(A62,batch_final_timeline_by_case!A:A,batch_final_timeline_by_case!E:E,"")</f>
        <v>84.35</v>
      </c>
      <c r="F62" s="7">
        <f>_xlfn.XLOOKUP(A62,batch_final_timeline_by_case!A:A,batch_final_timeline_by_case!F:F,"")</f>
        <v>11.1716</v>
      </c>
      <c r="G62" s="5">
        <f>_xlfn.XLOOKUP(A62,batch_final_timeline_by_case!A:A,batch_final_timeline_by_case!G:G,"")</f>
        <v>1</v>
      </c>
      <c r="H62" s="5">
        <f>_xlfn.XLOOKUP(A62,batch_final_timeline_by_case!A:A,batch_final_timeline_by_case!H:H,"")</f>
        <v>0</v>
      </c>
      <c r="I62" s="5">
        <f>_xlfn.XLOOKUP(A62,batch_final_timeline_by_case!A:A,batch_final_timeline_by_case!I:I,"")</f>
        <v>0</v>
      </c>
      <c r="J62" s="8">
        <f t="shared" si="2"/>
        <v>0.11695365236763203</v>
      </c>
      <c r="K62">
        <f t="shared" si="3"/>
        <v>1</v>
      </c>
      <c r="L62">
        <f t="shared" si="4"/>
        <v>1</v>
      </c>
      <c r="M62">
        <f>_xlfn.XLOOKUP(A62,idle_time_ratio_summary!A:A,idle_time_ratio_summary!G:G,"")</f>
        <v>0</v>
      </c>
      <c r="N62">
        <f>_xlfn.XLOOKUP(A62,idle_time_ratio_summary!A:A,idle_time_ratio_summary!M:M,"")</f>
        <v>1</v>
      </c>
      <c r="O62">
        <f>_xlfn.XLOOKUP(A62,idle_time_ratio_summary!A:A,idle_time_ratio_summary!N:N,"")</f>
        <v>1</v>
      </c>
      <c r="P62" s="5" t="str">
        <f t="shared" si="9"/>
        <v>8-11</v>
      </c>
      <c r="Q62" s="5">
        <f t="shared" si="5"/>
        <v>11</v>
      </c>
      <c r="R62" s="5" t="str">
        <f t="shared" si="10"/>
        <v>4+</v>
      </c>
      <c r="S62" s="5">
        <f t="shared" si="6"/>
        <v>6</v>
      </c>
      <c r="T62" s="8">
        <f t="shared" si="8"/>
        <v>0.11695365236763203</v>
      </c>
      <c r="U62" s="8">
        <f t="shared" si="7"/>
        <v>0</v>
      </c>
    </row>
    <row r="63" spans="1:21" x14ac:dyDescent="0.25">
      <c r="A63" s="5" t="s">
        <v>87</v>
      </c>
      <c r="B63" s="19">
        <v>7</v>
      </c>
      <c r="C63" s="19">
        <v>7</v>
      </c>
      <c r="D63" s="7">
        <f>_xlfn.XLOOKUP(A63,batch_final_timeline_by_case!A:A,batch_final_timeline_by_case!D:D,"")</f>
        <v>71.930000000000007</v>
      </c>
      <c r="E63" s="5">
        <f>_xlfn.XLOOKUP(A63,batch_final_timeline_by_case!A:A,batch_final_timeline_by_case!E:E,"")</f>
        <v>72.59</v>
      </c>
      <c r="F63" s="7">
        <f>_xlfn.XLOOKUP(A63,batch_final_timeline_by_case!A:A,batch_final_timeline_by_case!F:F,"")</f>
        <v>-0.66</v>
      </c>
      <c r="G63" s="5">
        <f>_xlfn.XLOOKUP(A63,batch_final_timeline_by_case!A:A,batch_final_timeline_by_case!G:G,"")</f>
        <v>0</v>
      </c>
      <c r="H63" s="5">
        <f>_xlfn.XLOOKUP(A63,batch_final_timeline_by_case!A:A,batch_final_timeline_by_case!H:H,"")</f>
        <v>1</v>
      </c>
      <c r="I63" s="5">
        <f>_xlfn.XLOOKUP(A63,batch_final_timeline_by_case!A:A,batch_final_timeline_by_case!I:I,"")</f>
        <v>0</v>
      </c>
      <c r="J63" s="8">
        <f t="shared" si="2"/>
        <v>9.1755873766161539E-3</v>
      </c>
      <c r="K63">
        <f t="shared" si="3"/>
        <v>0</v>
      </c>
      <c r="L63">
        <f t="shared" si="4"/>
        <v>0</v>
      </c>
      <c r="M63">
        <f>_xlfn.XLOOKUP(A63,idle_time_ratio_summary!A:A,idle_time_ratio_summary!G:G,"")</f>
        <v>0</v>
      </c>
      <c r="N63">
        <f>_xlfn.XLOOKUP(A63,idle_time_ratio_summary!A:A,idle_time_ratio_summary!M:M,"")</f>
        <v>0</v>
      </c>
      <c r="O63">
        <f>_xlfn.XLOOKUP(A63,idle_time_ratio_summary!A:A,idle_time_ratio_summary!N:N,"")</f>
        <v>0</v>
      </c>
      <c r="P63" s="5" t="str">
        <f t="shared" si="9"/>
        <v>5-7</v>
      </c>
      <c r="Q63" s="5">
        <f t="shared" si="5"/>
        <v>7</v>
      </c>
      <c r="R63" s="5" t="str">
        <f t="shared" si="10"/>
        <v>4+</v>
      </c>
      <c r="S63" s="5">
        <f t="shared" si="6"/>
        <v>7</v>
      </c>
      <c r="T63" s="8">
        <f t="shared" si="8"/>
        <v>0</v>
      </c>
      <c r="U63" s="8">
        <f t="shared" si="7"/>
        <v>9.0921614547458326E-3</v>
      </c>
    </row>
    <row r="64" spans="1:21" x14ac:dyDescent="0.25">
      <c r="A64" s="5" t="s">
        <v>76</v>
      </c>
      <c r="B64" s="19">
        <v>10</v>
      </c>
      <c r="C64" s="19">
        <v>7</v>
      </c>
      <c r="D64" s="7">
        <f>_xlfn.XLOOKUP(A64,batch_final_timeline_by_case!A:A,batch_final_timeline_by_case!D:D,"")</f>
        <v>78.45</v>
      </c>
      <c r="E64" s="5">
        <f>_xlfn.XLOOKUP(A64,batch_final_timeline_by_case!A:A,batch_final_timeline_by_case!E:E,"")</f>
        <v>79.2</v>
      </c>
      <c r="F64" s="7">
        <f>_xlfn.XLOOKUP(A64,batch_final_timeline_by_case!A:A,batch_final_timeline_by_case!F:F,"")</f>
        <v>-0.75</v>
      </c>
      <c r="G64" s="5">
        <f>_xlfn.XLOOKUP(A64,batch_final_timeline_by_case!A:A,batch_final_timeline_by_case!G:G,"")</f>
        <v>0</v>
      </c>
      <c r="H64" s="5">
        <f>_xlfn.XLOOKUP(A64,batch_final_timeline_by_case!A:A,batch_final_timeline_by_case!H:H,"")</f>
        <v>1</v>
      </c>
      <c r="I64" s="5">
        <f>_xlfn.XLOOKUP(A64,batch_final_timeline_by_case!A:A,batch_final_timeline_by_case!I:I,"")</f>
        <v>0</v>
      </c>
      <c r="J64" s="8">
        <f t="shared" si="2"/>
        <v>9.5602294455066923E-3</v>
      </c>
      <c r="K64">
        <f t="shared" si="3"/>
        <v>0</v>
      </c>
      <c r="L64">
        <f t="shared" si="4"/>
        <v>0</v>
      </c>
      <c r="M64">
        <f>_xlfn.XLOOKUP(A64,idle_time_ratio_summary!A:A,idle_time_ratio_summary!G:G,"")</f>
        <v>0</v>
      </c>
      <c r="N64">
        <f>_xlfn.XLOOKUP(A64,idle_time_ratio_summary!A:A,idle_time_ratio_summary!M:M,"")</f>
        <v>0</v>
      </c>
      <c r="O64">
        <f>_xlfn.XLOOKUP(A64,idle_time_ratio_summary!A:A,idle_time_ratio_summary!N:N,"")</f>
        <v>0</v>
      </c>
      <c r="P64" s="5" t="str">
        <f t="shared" si="9"/>
        <v>8-11</v>
      </c>
      <c r="Q64" s="5">
        <f t="shared" si="5"/>
        <v>10</v>
      </c>
      <c r="R64" s="5" t="str">
        <f t="shared" si="10"/>
        <v>4+</v>
      </c>
      <c r="S64" s="5">
        <f t="shared" si="6"/>
        <v>7</v>
      </c>
      <c r="T64" s="8">
        <f t="shared" si="8"/>
        <v>0</v>
      </c>
      <c r="U64" s="8">
        <f t="shared" si="7"/>
        <v>9.46969696969697E-3</v>
      </c>
    </row>
    <row r="65" spans="1:21" x14ac:dyDescent="0.25">
      <c r="A65" s="5" t="s">
        <v>43</v>
      </c>
      <c r="B65" s="19">
        <v>20</v>
      </c>
      <c r="C65" s="19">
        <v>7</v>
      </c>
      <c r="D65" s="7">
        <f>_xlfn.XLOOKUP(A65,batch_final_timeline_by_case!A:A,batch_final_timeline_by_case!D:D,"")</f>
        <v>143.898</v>
      </c>
      <c r="E65" s="5">
        <f>_xlfn.XLOOKUP(A65,batch_final_timeline_by_case!A:A,batch_final_timeline_by_case!E:E,"")</f>
        <v>138.37</v>
      </c>
      <c r="F65" s="7">
        <f>_xlfn.XLOOKUP(A65,batch_final_timeline_by_case!A:A,batch_final_timeline_by_case!F:F,"")</f>
        <v>5.5279999999999996</v>
      </c>
      <c r="G65" s="5">
        <f>_xlfn.XLOOKUP(A65,batch_final_timeline_by_case!A:A,batch_final_timeline_by_case!G:G,"")</f>
        <v>1</v>
      </c>
      <c r="H65" s="5">
        <f>_xlfn.XLOOKUP(A65,batch_final_timeline_by_case!A:A,batch_final_timeline_by_case!H:H,"")</f>
        <v>0</v>
      </c>
      <c r="I65" s="5">
        <f>_xlfn.XLOOKUP(A65,batch_final_timeline_by_case!A:A,batch_final_timeline_by_case!I:I,"")</f>
        <v>0</v>
      </c>
      <c r="J65" s="8">
        <f t="shared" si="2"/>
        <v>3.8416100293263283E-2</v>
      </c>
      <c r="K65">
        <f t="shared" si="3"/>
        <v>0</v>
      </c>
      <c r="L65">
        <f t="shared" si="4"/>
        <v>0</v>
      </c>
      <c r="M65">
        <f>_xlfn.XLOOKUP(A65,idle_time_ratio_summary!A:A,idle_time_ratio_summary!G:G,"")</f>
        <v>0</v>
      </c>
      <c r="N65">
        <f>_xlfn.XLOOKUP(A65,idle_time_ratio_summary!A:A,idle_time_ratio_summary!M:M,"")</f>
        <v>1</v>
      </c>
      <c r="O65">
        <f>_xlfn.XLOOKUP(A65,idle_time_ratio_summary!A:A,idle_time_ratio_summary!N:N,"")</f>
        <v>1</v>
      </c>
      <c r="P65" s="5" t="str">
        <f t="shared" si="9"/>
        <v>12+</v>
      </c>
      <c r="Q65" s="5" t="str">
        <f t="shared" si="5"/>
        <v>20+</v>
      </c>
      <c r="R65" s="5" t="str">
        <f t="shared" si="10"/>
        <v>4+</v>
      </c>
      <c r="S65" s="5">
        <f t="shared" si="6"/>
        <v>7</v>
      </c>
      <c r="T65" s="8">
        <f t="shared" si="8"/>
        <v>3.8416100293263283E-2</v>
      </c>
      <c r="U65" s="8">
        <f t="shared" si="7"/>
        <v>0</v>
      </c>
    </row>
    <row r="66" spans="1:21" x14ac:dyDescent="0.25">
      <c r="A66" s="5" t="s">
        <v>77</v>
      </c>
      <c r="B66" s="19">
        <v>13</v>
      </c>
      <c r="C66" s="19">
        <v>7</v>
      </c>
      <c r="D66" s="7">
        <f>_xlfn.XLOOKUP(A66,batch_final_timeline_by_case!A:A,batch_final_timeline_by_case!D:D,"")</f>
        <v>94.09</v>
      </c>
      <c r="E66" s="5">
        <f>_xlfn.XLOOKUP(A66,batch_final_timeline_by_case!A:A,batch_final_timeline_by_case!E:E,"")</f>
        <v>95.25</v>
      </c>
      <c r="F66" s="7">
        <f>_xlfn.XLOOKUP(A66,batch_final_timeline_by_case!A:A,batch_final_timeline_by_case!F:F,"")</f>
        <v>-1.1599999999999999</v>
      </c>
      <c r="G66" s="5">
        <f>_xlfn.XLOOKUP(A66,batch_final_timeline_by_case!A:A,batch_final_timeline_by_case!G:G,"")</f>
        <v>0</v>
      </c>
      <c r="H66" s="5">
        <f>_xlfn.XLOOKUP(A66,batch_final_timeline_by_case!A:A,batch_final_timeline_by_case!H:H,"")</f>
        <v>1</v>
      </c>
      <c r="I66" s="5">
        <f>_xlfn.XLOOKUP(A66,batch_final_timeline_by_case!A:A,batch_final_timeline_by_case!I:I,"")</f>
        <v>0</v>
      </c>
      <c r="J66" s="8">
        <f t="shared" si="2"/>
        <v>1.2328621532575192E-2</v>
      </c>
      <c r="K66">
        <f t="shared" si="3"/>
        <v>0</v>
      </c>
      <c r="L66">
        <f t="shared" si="4"/>
        <v>0</v>
      </c>
      <c r="M66">
        <f>_xlfn.XLOOKUP(A66,idle_time_ratio_summary!A:A,idle_time_ratio_summary!G:G,"")</f>
        <v>0</v>
      </c>
      <c r="N66">
        <f>_xlfn.XLOOKUP(A66,idle_time_ratio_summary!A:A,idle_time_ratio_summary!M:M,"")</f>
        <v>0</v>
      </c>
      <c r="O66">
        <f>_xlfn.XLOOKUP(A66,idle_time_ratio_summary!A:A,idle_time_ratio_summary!N:N,"")</f>
        <v>0</v>
      </c>
      <c r="P66" s="5" t="str">
        <f t="shared" ref="P66:P72" si="11">IF(B66&lt;=2,"1-2",IF(B66&lt;=4,"3-4",IF(B66&lt;=7,"5-7",IF(B66&lt;=11,"8-11","12+"))))</f>
        <v>12+</v>
      </c>
      <c r="Q66" s="5" t="str">
        <f t="shared" si="5"/>
        <v>12-19</v>
      </c>
      <c r="R66" s="5" t="str">
        <f t="shared" ref="R66:R72" si="12">IF(C66&lt;=3,"3-","4+")</f>
        <v>4+</v>
      </c>
      <c r="S66" s="5">
        <f t="shared" si="6"/>
        <v>7</v>
      </c>
      <c r="T66" s="8">
        <f t="shared" si="8"/>
        <v>0</v>
      </c>
      <c r="U66" s="8">
        <f t="shared" si="7"/>
        <v>1.2178477690288713E-2</v>
      </c>
    </row>
    <row r="67" spans="1:21" x14ac:dyDescent="0.25">
      <c r="A67" s="5" t="s">
        <v>28</v>
      </c>
      <c r="B67" s="19">
        <v>10</v>
      </c>
      <c r="C67" s="19">
        <v>7</v>
      </c>
      <c r="D67" s="7">
        <f>_xlfn.XLOOKUP(A67,batch_final_timeline_by_case!A:A,batch_final_timeline_by_case!D:D,"")</f>
        <v>80.263800000000003</v>
      </c>
      <c r="E67" s="5">
        <f>_xlfn.XLOOKUP(A67,batch_final_timeline_by_case!A:A,batch_final_timeline_by_case!E:E,"")</f>
        <v>74.180000000000007</v>
      </c>
      <c r="F67" s="7">
        <f>_xlfn.XLOOKUP(A67,batch_final_timeline_by_case!A:A,batch_final_timeline_by_case!F:F,"")</f>
        <v>6.0838000000000001</v>
      </c>
      <c r="G67" s="5">
        <f>_xlfn.XLOOKUP(A67,batch_final_timeline_by_case!A:A,batch_final_timeline_by_case!G:G,"")</f>
        <v>1</v>
      </c>
      <c r="H67" s="5">
        <f>_xlfn.XLOOKUP(A67,batch_final_timeline_by_case!A:A,batch_final_timeline_by_case!H:H,"")</f>
        <v>0</v>
      </c>
      <c r="I67" s="5">
        <f>_xlfn.XLOOKUP(A67,batch_final_timeline_by_case!A:A,batch_final_timeline_by_case!I:I,"")</f>
        <v>0</v>
      </c>
      <c r="J67" s="8">
        <f t="shared" ref="J67:J72" si="13">IF(D67=0,"",ABS(F67)/D67)</f>
        <v>7.5797557553965791E-2</v>
      </c>
      <c r="K67">
        <f t="shared" ref="K67:K72" si="14">IF(J67&gt;=0.05,1,0)</f>
        <v>1</v>
      </c>
      <c r="L67">
        <f t="shared" ref="L67:L72" si="15">IF(AND(G67=1,K67=1),1,0)</f>
        <v>1</v>
      </c>
      <c r="M67">
        <f>_xlfn.XLOOKUP(A67,idle_time_ratio_summary!A:A,idle_time_ratio_summary!G:G,"")</f>
        <v>0</v>
      </c>
      <c r="N67">
        <f>_xlfn.XLOOKUP(A67,idle_time_ratio_summary!A:A,idle_time_ratio_summary!M:M,"")</f>
        <v>1</v>
      </c>
      <c r="O67">
        <f>_xlfn.XLOOKUP(A67,idle_time_ratio_summary!A:A,idle_time_ratio_summary!N:N,"")</f>
        <v>1</v>
      </c>
      <c r="P67" s="5" t="str">
        <f t="shared" si="11"/>
        <v>8-11</v>
      </c>
      <c r="Q67" s="5">
        <f t="shared" ref="Q67:Q72" si="16">IF(B67&lt;=11,B67,IF(B67&lt;20,"12-19","20+"))</f>
        <v>10</v>
      </c>
      <c r="R67" s="5" t="str">
        <f t="shared" si="12"/>
        <v>4+</v>
      </c>
      <c r="S67" s="5">
        <f t="shared" ref="S67:S72" si="17">IF(C67&lt;=7,C67,"8+")</f>
        <v>7</v>
      </c>
      <c r="T67" s="8">
        <f t="shared" ref="T67:T72" si="18">IF(G67=1,J67,0)</f>
        <v>7.5797557553965791E-2</v>
      </c>
      <c r="U67" s="8">
        <f t="shared" ref="U67:U72" si="19">IF(H67=1,ABS(F67)/E67,0)</f>
        <v>0</v>
      </c>
    </row>
    <row r="68" spans="1:21" x14ac:dyDescent="0.25">
      <c r="A68" s="5" t="s">
        <v>29</v>
      </c>
      <c r="B68" s="19">
        <v>15</v>
      </c>
      <c r="C68" s="19">
        <v>8</v>
      </c>
      <c r="D68" s="7">
        <f>_xlfn.XLOOKUP(A68,batch_final_timeline_by_case!A:A,batch_final_timeline_by_case!D:D,"")</f>
        <v>97.357600000000005</v>
      </c>
      <c r="E68" s="5">
        <f>_xlfn.XLOOKUP(A68,batch_final_timeline_by_case!A:A,batch_final_timeline_by_case!E:E,"")</f>
        <v>92.22</v>
      </c>
      <c r="F68" s="7">
        <f>_xlfn.XLOOKUP(A68,batch_final_timeline_by_case!A:A,batch_final_timeline_by_case!F:F,"")</f>
        <v>5.1375999999999999</v>
      </c>
      <c r="G68" s="5">
        <f>_xlfn.XLOOKUP(A68,batch_final_timeline_by_case!A:A,batch_final_timeline_by_case!G:G,"")</f>
        <v>1</v>
      </c>
      <c r="H68" s="5">
        <f>_xlfn.XLOOKUP(A68,batch_final_timeline_by_case!A:A,batch_final_timeline_by_case!H:H,"")</f>
        <v>0</v>
      </c>
      <c r="I68" s="5">
        <f>_xlfn.XLOOKUP(A68,batch_final_timeline_by_case!A:A,batch_final_timeline_by_case!I:I,"")</f>
        <v>0</v>
      </c>
      <c r="J68" s="8">
        <f t="shared" si="13"/>
        <v>5.2770405186652089E-2</v>
      </c>
      <c r="K68">
        <f t="shared" si="14"/>
        <v>1</v>
      </c>
      <c r="L68">
        <f t="shared" si="15"/>
        <v>1</v>
      </c>
      <c r="M68">
        <f>_xlfn.XLOOKUP(A68,idle_time_ratio_summary!A:A,idle_time_ratio_summary!G:G,"")</f>
        <v>0</v>
      </c>
      <c r="N68">
        <f>_xlfn.XLOOKUP(A68,idle_time_ratio_summary!A:A,idle_time_ratio_summary!M:M,"")</f>
        <v>1</v>
      </c>
      <c r="O68">
        <f>_xlfn.XLOOKUP(A68,idle_time_ratio_summary!A:A,idle_time_ratio_summary!N:N,"")</f>
        <v>0</v>
      </c>
      <c r="P68" s="5" t="str">
        <f t="shared" si="11"/>
        <v>12+</v>
      </c>
      <c r="Q68" s="5" t="str">
        <f t="shared" si="16"/>
        <v>12-19</v>
      </c>
      <c r="R68" s="5" t="str">
        <f t="shared" si="12"/>
        <v>4+</v>
      </c>
      <c r="S68" s="5" t="str">
        <f t="shared" si="17"/>
        <v>8+</v>
      </c>
      <c r="T68" s="8">
        <f t="shared" si="18"/>
        <v>5.2770405186652089E-2</v>
      </c>
      <c r="U68" s="8">
        <f t="shared" si="19"/>
        <v>0</v>
      </c>
    </row>
    <row r="69" spans="1:21" x14ac:dyDescent="0.25">
      <c r="A69" s="5" t="s">
        <v>62</v>
      </c>
      <c r="B69" s="19">
        <v>17</v>
      </c>
      <c r="C69" s="19">
        <v>9</v>
      </c>
      <c r="D69" s="7">
        <f>_xlfn.XLOOKUP(A69,batch_final_timeline_by_case!A:A,batch_final_timeline_by_case!D:D,"")</f>
        <v>103.884</v>
      </c>
      <c r="E69" s="5">
        <f>_xlfn.XLOOKUP(A69,batch_final_timeline_by_case!A:A,batch_final_timeline_by_case!E:E,"")</f>
        <v>100.89</v>
      </c>
      <c r="F69" s="7">
        <f>_xlfn.XLOOKUP(A69,batch_final_timeline_by_case!A:A,batch_final_timeline_by_case!F:F,"")</f>
        <v>2.9940000000000002</v>
      </c>
      <c r="G69" s="5">
        <f>_xlfn.XLOOKUP(A69,batch_final_timeline_by_case!A:A,batch_final_timeline_by_case!G:G,"")</f>
        <v>1</v>
      </c>
      <c r="H69" s="5">
        <f>_xlfn.XLOOKUP(A69,batch_final_timeline_by_case!A:A,batch_final_timeline_by_case!H:H,"")</f>
        <v>0</v>
      </c>
      <c r="I69" s="5">
        <f>_xlfn.XLOOKUP(A69,batch_final_timeline_by_case!A:A,batch_final_timeline_by_case!I:I,"")</f>
        <v>0</v>
      </c>
      <c r="J69" s="8">
        <f t="shared" si="13"/>
        <v>2.8820607600785492E-2</v>
      </c>
      <c r="K69">
        <f t="shared" si="14"/>
        <v>0</v>
      </c>
      <c r="L69">
        <f t="shared" si="15"/>
        <v>0</v>
      </c>
      <c r="M69">
        <f>_xlfn.XLOOKUP(A69,idle_time_ratio_summary!A:A,idle_time_ratio_summary!G:G,"")</f>
        <v>0</v>
      </c>
      <c r="N69">
        <f>_xlfn.XLOOKUP(A69,idle_time_ratio_summary!A:A,idle_time_ratio_summary!M:M,"")</f>
        <v>1</v>
      </c>
      <c r="O69">
        <f>_xlfn.XLOOKUP(A69,idle_time_ratio_summary!A:A,idle_time_ratio_summary!N:N,"")</f>
        <v>1</v>
      </c>
      <c r="P69" s="5" t="str">
        <f t="shared" si="11"/>
        <v>12+</v>
      </c>
      <c r="Q69" s="5" t="str">
        <f t="shared" si="16"/>
        <v>12-19</v>
      </c>
      <c r="R69" s="5" t="str">
        <f t="shared" si="12"/>
        <v>4+</v>
      </c>
      <c r="S69" s="5" t="str">
        <f t="shared" si="17"/>
        <v>8+</v>
      </c>
      <c r="T69" s="8">
        <f t="shared" si="18"/>
        <v>2.8820607600785492E-2</v>
      </c>
      <c r="U69" s="8">
        <f t="shared" si="19"/>
        <v>0</v>
      </c>
    </row>
    <row r="70" spans="1:21" x14ac:dyDescent="0.25">
      <c r="A70" s="5" t="s">
        <v>38</v>
      </c>
      <c r="B70" s="19">
        <v>20</v>
      </c>
      <c r="C70" s="19">
        <v>10</v>
      </c>
      <c r="D70" s="7">
        <f>_xlfn.XLOOKUP(A70,batch_final_timeline_by_case!A:A,batch_final_timeline_by_case!D:D,"")</f>
        <v>102.718</v>
      </c>
      <c r="E70" s="5">
        <f>_xlfn.XLOOKUP(A70,batch_final_timeline_by_case!A:A,batch_final_timeline_by_case!E:E,"")</f>
        <v>92.43</v>
      </c>
      <c r="F70" s="7">
        <f>_xlfn.XLOOKUP(A70,batch_final_timeline_by_case!A:A,batch_final_timeline_by_case!F:F,"")</f>
        <v>10.288</v>
      </c>
      <c r="G70" s="5">
        <f>_xlfn.XLOOKUP(A70,batch_final_timeline_by_case!A:A,batch_final_timeline_by_case!G:G,"")</f>
        <v>1</v>
      </c>
      <c r="H70" s="5">
        <f>_xlfn.XLOOKUP(A70,batch_final_timeline_by_case!A:A,batch_final_timeline_by_case!H:H,"")</f>
        <v>0</v>
      </c>
      <c r="I70" s="5">
        <f>_xlfn.XLOOKUP(A70,batch_final_timeline_by_case!A:A,batch_final_timeline_by_case!I:I,"")</f>
        <v>0</v>
      </c>
      <c r="J70" s="8">
        <f t="shared" si="13"/>
        <v>0.10015771335111665</v>
      </c>
      <c r="K70">
        <f t="shared" si="14"/>
        <v>1</v>
      </c>
      <c r="L70">
        <f t="shared" si="15"/>
        <v>1</v>
      </c>
      <c r="M70">
        <f>_xlfn.XLOOKUP(A70,idle_time_ratio_summary!A:A,idle_time_ratio_summary!G:G,"")</f>
        <v>0</v>
      </c>
      <c r="N70">
        <f>_xlfn.XLOOKUP(A70,idle_time_ratio_summary!A:A,idle_time_ratio_summary!M:M,"")</f>
        <v>1</v>
      </c>
      <c r="O70">
        <f>_xlfn.XLOOKUP(A70,idle_time_ratio_summary!A:A,idle_time_ratio_summary!N:N,"")</f>
        <v>1</v>
      </c>
      <c r="P70" s="5" t="str">
        <f t="shared" si="11"/>
        <v>12+</v>
      </c>
      <c r="Q70" s="5" t="str">
        <f t="shared" si="16"/>
        <v>20+</v>
      </c>
      <c r="R70" s="5" t="str">
        <f t="shared" si="12"/>
        <v>4+</v>
      </c>
      <c r="S70" s="5" t="str">
        <f t="shared" si="17"/>
        <v>8+</v>
      </c>
      <c r="T70" s="8">
        <f t="shared" si="18"/>
        <v>0.10015771335111665</v>
      </c>
      <c r="U70" s="8">
        <f t="shared" si="19"/>
        <v>0</v>
      </c>
    </row>
    <row r="71" spans="1:21" x14ac:dyDescent="0.25">
      <c r="A71" s="5" t="s">
        <v>39</v>
      </c>
      <c r="B71" s="19">
        <v>26</v>
      </c>
      <c r="C71" s="19">
        <v>11</v>
      </c>
      <c r="D71" s="7">
        <f>_xlfn.XLOOKUP(A71,batch_final_timeline_by_case!A:A,batch_final_timeline_by_case!D:D,"")</f>
        <v>145.2664</v>
      </c>
      <c r="E71" s="5">
        <f>_xlfn.XLOOKUP(A71,batch_final_timeline_by_case!A:A,batch_final_timeline_by_case!E:E,"")</f>
        <v>148.16999999999999</v>
      </c>
      <c r="F71" s="7">
        <f>_xlfn.XLOOKUP(A71,batch_final_timeline_by_case!A:A,batch_final_timeline_by_case!F:F,"")</f>
        <v>-2.9036</v>
      </c>
      <c r="G71" s="5">
        <f>_xlfn.XLOOKUP(A71,batch_final_timeline_by_case!A:A,batch_final_timeline_by_case!G:G,"")</f>
        <v>0</v>
      </c>
      <c r="H71" s="5">
        <f>_xlfn.XLOOKUP(A71,batch_final_timeline_by_case!A:A,batch_final_timeline_by_case!H:H,"")</f>
        <v>1</v>
      </c>
      <c r="I71" s="5">
        <f>_xlfn.XLOOKUP(A71,batch_final_timeline_by_case!A:A,batch_final_timeline_by_case!I:I,"")</f>
        <v>0</v>
      </c>
      <c r="J71" s="8">
        <f t="shared" si="13"/>
        <v>1.9988104613317324E-2</v>
      </c>
      <c r="K71">
        <f t="shared" si="14"/>
        <v>0</v>
      </c>
      <c r="L71">
        <f t="shared" si="15"/>
        <v>0</v>
      </c>
      <c r="M71">
        <f>_xlfn.XLOOKUP(A71,idle_time_ratio_summary!A:A,idle_time_ratio_summary!G:G,"")</f>
        <v>0</v>
      </c>
      <c r="N71">
        <f>_xlfn.XLOOKUP(A71,idle_time_ratio_summary!A:A,idle_time_ratio_summary!M:M,"")</f>
        <v>1</v>
      </c>
      <c r="O71">
        <f>_xlfn.XLOOKUP(A71,idle_time_ratio_summary!A:A,idle_time_ratio_summary!N:N,"")</f>
        <v>1</v>
      </c>
      <c r="P71" s="5" t="str">
        <f t="shared" si="11"/>
        <v>12+</v>
      </c>
      <c r="Q71" s="5" t="str">
        <f t="shared" si="16"/>
        <v>20+</v>
      </c>
      <c r="R71" s="5" t="str">
        <f t="shared" si="12"/>
        <v>4+</v>
      </c>
      <c r="S71" s="5" t="str">
        <f t="shared" si="17"/>
        <v>8+</v>
      </c>
      <c r="T71" s="8">
        <f t="shared" si="18"/>
        <v>0</v>
      </c>
      <c r="U71" s="8">
        <f t="shared" si="19"/>
        <v>1.9596409529594388E-2</v>
      </c>
    </row>
    <row r="72" spans="1:21" x14ac:dyDescent="0.25">
      <c r="A72" s="5" t="s">
        <v>40</v>
      </c>
      <c r="B72" s="19">
        <v>27</v>
      </c>
      <c r="C72" s="19">
        <v>11</v>
      </c>
      <c r="D72" s="7">
        <f>_xlfn.XLOOKUP(A72,batch_final_timeline_by_case!A:A,batch_final_timeline_by_case!D:D,"")</f>
        <v>169.91919999999999</v>
      </c>
      <c r="E72" s="5">
        <f>_xlfn.XLOOKUP(A72,batch_final_timeline_by_case!A:A,batch_final_timeline_by_case!E:E,"")</f>
        <v>166.98</v>
      </c>
      <c r="F72" s="7">
        <f>_xlfn.XLOOKUP(A72,batch_final_timeline_by_case!A:A,batch_final_timeline_by_case!F:F,"")</f>
        <v>2.9392</v>
      </c>
      <c r="G72" s="5">
        <f>_xlfn.XLOOKUP(A72,batch_final_timeline_by_case!A:A,batch_final_timeline_by_case!G:G,"")</f>
        <v>1</v>
      </c>
      <c r="H72" s="5">
        <f>_xlfn.XLOOKUP(A72,batch_final_timeline_by_case!A:A,batch_final_timeline_by_case!H:H,"")</f>
        <v>0</v>
      </c>
      <c r="I72" s="5">
        <f>_xlfn.XLOOKUP(A72,batch_final_timeline_by_case!A:A,batch_final_timeline_by_case!I:I,"")</f>
        <v>0</v>
      </c>
      <c r="J72" s="8">
        <f t="shared" si="13"/>
        <v>1.7297633228028381E-2</v>
      </c>
      <c r="K72">
        <f t="shared" si="14"/>
        <v>0</v>
      </c>
      <c r="L72">
        <f t="shared" si="15"/>
        <v>0</v>
      </c>
      <c r="M72">
        <f>_xlfn.XLOOKUP(A72,idle_time_ratio_summary!A:A,idle_time_ratio_summary!G:G,"")</f>
        <v>0</v>
      </c>
      <c r="N72">
        <f>_xlfn.XLOOKUP(A72,idle_time_ratio_summary!A:A,idle_time_ratio_summary!M:M,"")</f>
        <v>1</v>
      </c>
      <c r="O72">
        <f>_xlfn.XLOOKUP(A72,idle_time_ratio_summary!A:A,idle_time_ratio_summary!N:N,"")</f>
        <v>1</v>
      </c>
      <c r="P72" s="5" t="str">
        <f t="shared" si="11"/>
        <v>12+</v>
      </c>
      <c r="Q72" s="5" t="str">
        <f t="shared" si="16"/>
        <v>20+</v>
      </c>
      <c r="R72" s="5" t="str">
        <f t="shared" si="12"/>
        <v>4+</v>
      </c>
      <c r="S72" s="5" t="str">
        <f t="shared" si="17"/>
        <v>8+</v>
      </c>
      <c r="T72" s="8">
        <f t="shared" si="18"/>
        <v>1.7297633228028381E-2</v>
      </c>
      <c r="U72" s="8">
        <f t="shared" si="19"/>
        <v>0</v>
      </c>
    </row>
    <row r="73" spans="1:21" x14ac:dyDescent="0.25">
      <c r="G73" s="5">
        <f>SUM(G2:G72)</f>
        <v>46</v>
      </c>
      <c r="H73" s="5">
        <f>SUM(H2:H72)</f>
        <v>25</v>
      </c>
      <c r="J73" s="13">
        <f>AVERAGE(J2:J72)</f>
        <v>3.4494589857959647E-2</v>
      </c>
      <c r="K73" s="10">
        <f>SUM(K2:K72)</f>
        <v>16</v>
      </c>
      <c r="L73" s="10">
        <f>SUM(L2:L72)</f>
        <v>14</v>
      </c>
      <c r="M73">
        <f>SUM(M2:M72)</f>
        <v>11</v>
      </c>
      <c r="N73" s="10">
        <f>SUM(N2:N72)</f>
        <v>54</v>
      </c>
      <c r="O73" s="10">
        <f>SUM(O2:O72)</f>
        <v>38</v>
      </c>
      <c r="T73" s="8">
        <f>AVERAGE(T2:T72)</f>
        <v>2.5252708303937482E-2</v>
      </c>
      <c r="U73" s="8">
        <f>AVERAGE(U2:U72)</f>
        <v>8.8655551986390833E-3</v>
      </c>
    </row>
  </sheetData>
  <phoneticPr fontId="18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E7AF-452C-4CC1-9F2B-756C194727F2}">
  <dimension ref="A3:G8"/>
  <sheetViews>
    <sheetView tabSelected="1" workbookViewId="0">
      <selection activeCell="G16" sqref="G16"/>
    </sheetView>
  </sheetViews>
  <sheetFormatPr defaultRowHeight="16.5" x14ac:dyDescent="0.25"/>
  <cols>
    <col min="1" max="1" width="10.125" bestFit="1" customWidth="1"/>
    <col min="2" max="2" width="8.5" bestFit="1" customWidth="1"/>
    <col min="3" max="3" width="29.625" bestFit="1" customWidth="1"/>
    <col min="4" max="4" width="32.875" bestFit="1" customWidth="1"/>
    <col min="5" max="5" width="34.5" bestFit="1" customWidth="1"/>
    <col min="6" max="6" width="41.875" bestFit="1" customWidth="1"/>
    <col min="7" max="7" width="34.125" bestFit="1" customWidth="1"/>
    <col min="8" max="9" width="31.75" bestFit="1" customWidth="1"/>
  </cols>
  <sheetData>
    <row r="3" spans="1:7" x14ac:dyDescent="0.25">
      <c r="A3" s="1" t="s">
        <v>98</v>
      </c>
      <c r="B3" t="s">
        <v>307</v>
      </c>
      <c r="C3" t="s">
        <v>302</v>
      </c>
      <c r="D3" t="s">
        <v>308</v>
      </c>
      <c r="E3" t="s">
        <v>309</v>
      </c>
      <c r="F3" t="s">
        <v>310</v>
      </c>
      <c r="G3" t="s">
        <v>321</v>
      </c>
    </row>
    <row r="4" spans="1:7" x14ac:dyDescent="0.25">
      <c r="A4" s="2" t="s">
        <v>285</v>
      </c>
      <c r="B4" s="17">
        <v>14</v>
      </c>
      <c r="C4" s="3">
        <v>0.7142857142857143</v>
      </c>
      <c r="D4" s="3">
        <v>0.42857142857142855</v>
      </c>
      <c r="E4" s="9">
        <v>0.6428571428571429</v>
      </c>
      <c r="F4" s="9">
        <v>0.14285714285714285</v>
      </c>
      <c r="G4" s="3">
        <v>0.21428571428571427</v>
      </c>
    </row>
    <row r="5" spans="1:7" x14ac:dyDescent="0.25">
      <c r="A5" s="2" t="s">
        <v>281</v>
      </c>
      <c r="B5" s="17">
        <v>15</v>
      </c>
      <c r="C5" s="3">
        <v>0.73333333333333328</v>
      </c>
      <c r="D5" s="3">
        <v>0.26666666666666666</v>
      </c>
      <c r="E5" s="9">
        <v>0.8</v>
      </c>
      <c r="F5" s="9">
        <v>0.4</v>
      </c>
      <c r="G5" s="3">
        <v>0.13333333333333333</v>
      </c>
    </row>
    <row r="6" spans="1:7" x14ac:dyDescent="0.25">
      <c r="A6" s="2" t="s">
        <v>287</v>
      </c>
      <c r="B6" s="17">
        <v>17</v>
      </c>
      <c r="C6" s="3">
        <v>0.52941176470588236</v>
      </c>
      <c r="D6" s="3">
        <v>5.8823529411764705E-2</v>
      </c>
      <c r="E6" s="9">
        <v>0.76470588235294112</v>
      </c>
      <c r="F6" s="9">
        <v>0.70588235294117652</v>
      </c>
      <c r="G6" s="3">
        <v>0.17647058823529413</v>
      </c>
    </row>
    <row r="7" spans="1:7" x14ac:dyDescent="0.25">
      <c r="A7" s="2" t="s">
        <v>280</v>
      </c>
      <c r="B7" s="17">
        <v>16</v>
      </c>
      <c r="C7" s="3">
        <v>0.5625</v>
      </c>
      <c r="D7" s="3">
        <v>0</v>
      </c>
      <c r="E7" s="9">
        <v>0.75</v>
      </c>
      <c r="F7" s="9">
        <v>0.6875</v>
      </c>
      <c r="G7" s="3">
        <v>0.25</v>
      </c>
    </row>
    <row r="8" spans="1:7" x14ac:dyDescent="0.25">
      <c r="A8" s="2" t="s">
        <v>286</v>
      </c>
      <c r="B8" s="17">
        <v>9</v>
      </c>
      <c r="C8" s="3">
        <v>0.77777777777777779</v>
      </c>
      <c r="D8" s="3">
        <v>0</v>
      </c>
      <c r="E8" s="9">
        <v>0.88888888888888884</v>
      </c>
      <c r="F8" s="9">
        <v>0.77777777777777779</v>
      </c>
      <c r="G8" s="3">
        <v>0.22222222222222221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4BC6-D6F4-4311-A5E9-2175AD82D7E2}">
  <dimension ref="A3:F8"/>
  <sheetViews>
    <sheetView workbookViewId="0">
      <selection activeCell="G19" sqref="G19"/>
    </sheetView>
  </sheetViews>
  <sheetFormatPr defaultRowHeight="16.5" x14ac:dyDescent="0.25"/>
  <cols>
    <col min="1" max="1" width="10.125" bestFit="1" customWidth="1"/>
    <col min="2" max="2" width="14.5" bestFit="1" customWidth="1"/>
    <col min="3" max="3" width="29.625" bestFit="1" customWidth="1"/>
    <col min="4" max="4" width="29.25" bestFit="1" customWidth="1"/>
    <col min="5" max="5" width="36.625" bestFit="1" customWidth="1"/>
    <col min="6" max="6" width="34.125" bestFit="1" customWidth="1"/>
    <col min="7" max="7" width="25.25" bestFit="1" customWidth="1"/>
  </cols>
  <sheetData>
    <row r="3" spans="1:6" x14ac:dyDescent="0.25">
      <c r="A3" s="1" t="s">
        <v>98</v>
      </c>
      <c r="B3" t="s">
        <v>276</v>
      </c>
      <c r="C3" t="s">
        <v>301</v>
      </c>
      <c r="D3" t="s">
        <v>303</v>
      </c>
      <c r="E3" t="s">
        <v>306</v>
      </c>
      <c r="F3" t="s">
        <v>321</v>
      </c>
    </row>
    <row r="4" spans="1:6" x14ac:dyDescent="0.25">
      <c r="A4" s="2" t="s">
        <v>277</v>
      </c>
      <c r="B4" s="17">
        <v>37</v>
      </c>
      <c r="C4" s="9">
        <v>0.72972972972972971</v>
      </c>
      <c r="D4" s="12">
        <v>0.81081081081081086</v>
      </c>
      <c r="E4" s="12">
        <v>0.45945945945945948</v>
      </c>
      <c r="F4" s="3">
        <v>0.16216216216216217</v>
      </c>
    </row>
    <row r="5" spans="1:6" x14ac:dyDescent="0.25">
      <c r="A5" s="18">
        <v>1</v>
      </c>
      <c r="B5" s="17">
        <v>13</v>
      </c>
      <c r="C5" s="9">
        <v>0.69230769230769229</v>
      </c>
      <c r="D5" s="12">
        <v>0.76923076923076927</v>
      </c>
      <c r="E5" s="12">
        <v>0.30769230769230771</v>
      </c>
      <c r="F5" s="3">
        <v>0.23076923076923078</v>
      </c>
    </row>
    <row r="6" spans="1:6" x14ac:dyDescent="0.25">
      <c r="A6" s="18">
        <v>2</v>
      </c>
      <c r="B6" s="17">
        <v>16</v>
      </c>
      <c r="C6" s="9">
        <v>0.75</v>
      </c>
      <c r="D6" s="12">
        <v>0.75</v>
      </c>
      <c r="E6" s="12">
        <v>0.5625</v>
      </c>
      <c r="F6" s="3">
        <v>6.25E-2</v>
      </c>
    </row>
    <row r="7" spans="1:6" x14ac:dyDescent="0.25">
      <c r="A7" s="18">
        <v>3</v>
      </c>
      <c r="B7" s="17">
        <v>8</v>
      </c>
      <c r="C7" s="9">
        <v>0.75</v>
      </c>
      <c r="D7" s="12">
        <v>1</v>
      </c>
      <c r="E7" s="12">
        <v>0.5</v>
      </c>
      <c r="F7" s="3">
        <v>0.25</v>
      </c>
    </row>
    <row r="8" spans="1:6" x14ac:dyDescent="0.25">
      <c r="A8" s="2" t="s">
        <v>278</v>
      </c>
      <c r="B8" s="17">
        <v>34</v>
      </c>
      <c r="C8" s="9">
        <v>0.55882352941176472</v>
      </c>
      <c r="D8" s="12">
        <v>0.70588235294117652</v>
      </c>
      <c r="E8" s="12">
        <v>0.61764705882352944</v>
      </c>
      <c r="F8" s="3">
        <v>0.23529411764705882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C0D64C-A152-416F-9099-5966142C64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idle_time_ratio_summary</vt:lpstr>
      <vt:lpstr>batch_final_timeline_by_case</vt:lpstr>
      <vt:lpstr>batch_event_summary</vt:lpstr>
      <vt:lpstr>group_data</vt:lpstr>
      <vt:lpstr>失效次數分析</vt:lpstr>
      <vt:lpstr>失效任務個數分析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楊佳蓁</cp:lastModifiedBy>
  <dcterms:created xsi:type="dcterms:W3CDTF">2026-06-22T09:00:44Z</dcterms:created>
  <dcterms:modified xsi:type="dcterms:W3CDTF">2026-08-12T13:14:09Z</dcterms:modified>
</cp:coreProperties>
</file>